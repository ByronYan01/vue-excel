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812"/>
  </bookViews>
  <sheets>
    <sheet name="1季度预测工业增加值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<sst xmlns="http://schemas.openxmlformats.org/spreadsheetml/2006/main" count="41" uniqueCount="24">
  <si>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集团所属参股合资企业工业经济运行指标数据明细表</t>
  </si>
  <si>
    <t>序号</t>
  </si>
  <si>
    <t>企业名称</t>
  </si>
  <si>
    <t>企业性质</t>
  </si>
  <si>
    <t>工业总产值</t>
  </si>
  <si>
    <t>工业增加值</t>
  </si>
  <si>
    <t>固定资产投资额</t>
  </si>
  <si>
    <t>2024年
一季度</t>
  </si>
  <si>
    <t>2023年
一季度</t>
  </si>
  <si>
    <t>同比增速</t>
  </si>
  <si>
    <t>天津三星电机有限公司</t>
  </si>
  <si>
    <t>参股合资企业</t>
  </si>
  <si>
    <t>三星高新电机（天津）有限公司</t>
  </si>
  <si>
    <t>天津三星视界移动有限公司</t>
  </si>
  <si>
    <t>天津三星视界有限公司</t>
  </si>
  <si>
    <t>三星（天津）电池有限公司</t>
  </si>
  <si>
    <t>三星爱商(天津)国际物流有限公司</t>
  </si>
  <si>
    <t>天津雅马哈电子乐器有限公司</t>
  </si>
  <si>
    <t>天津费加罗电子有限公司</t>
  </si>
  <si>
    <t>设备投资减少差异原因：去年一季度有超10万设备引进，今年第一季度暂无急需设备引进，预计二季度开始会陆续按年度计划开展资产投资。</t>
  </si>
  <si>
    <t>——</t>
  </si>
  <si>
    <t>小计</t>
  </si>
  <si>
    <t>国有及国有控股企业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</si>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</sst>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-* #,##0.00_-;\-* #,##0.00_-;_-* &quot;-&quot;??_-;_-@_-"/>
    <numFmt numFmtId="178" formatCode="&quot;\&quot;#,##0.00;\-&quot;\&quot;#,##0.00"/>
    <numFmt numFmtId="179" formatCode="_-#,##0_-;\(#,##0\);_-\ \ &quot;-&quot;_-;_-@_-"/>
    <numFmt numFmtId="180" formatCode="_-#,##0.00_-;\(#,##0.00\);_-\ \ &quot;-&quot;_-;_-@_-"/>
    <numFmt numFmtId="181" formatCode="mmm/dd/yyyy;_-\ &quot;N/A&quot;_-;_-\ &quot;-&quot;_-"/>
    <numFmt numFmtId="182" formatCode="mmm/yyyy;_-\ &quot;N/A&quot;_-;_-\ &quot;-&quot;_-"/>
    <numFmt numFmtId="183" formatCode="_-#,##0%_-;\(#,##0%\);_-\ &quot;-&quot;_-"/>
    <numFmt numFmtId="184" formatCode="_-#,###,_-;\(#,###,\);_-\ \ &quot;-&quot;_-;_-@_-"/>
    <numFmt numFmtId="185" formatCode="_-#,###.00,_-;\(#,###.00,\);_-\ \ &quot;-&quot;_-;_-@_-"/>
    <numFmt numFmtId="186" formatCode="_-#0&quot;.&quot;0,_-;\(#0&quot;.&quot;0,\);_-\ \ &quot;-&quot;_-;_-@_-"/>
    <numFmt numFmtId="187" formatCode="_-#0&quot;.&quot;0000_-;\(#0&quot;.&quot;0000\);_-\ \ &quot;-&quot;_-;_-@_-"/>
    <numFmt numFmtId="188" formatCode="_-* #,##0_-;\-* #,##0_-;_-* &quot;-&quot;_-;_-@_-"/>
    <numFmt numFmtId="189" formatCode="0.00000"/>
    <numFmt numFmtId="190" formatCode="#,##0.0_);\(#,##0.0\)"/>
    <numFmt numFmtId="191" formatCode="0.0%"/>
    <numFmt numFmtId="192" formatCode="#,##0\ \ \ \ \ "/>
    <numFmt numFmtId="193" formatCode="m\o\n\th\ d\,\ yyyy"/>
    <numFmt numFmtId="194" formatCode="#,##0."/>
    <numFmt numFmtId="195" formatCode="#.00"/>
    <numFmt numFmtId="196" formatCode="#."/>
    <numFmt numFmtId="197" formatCode="&quot;\&quot;#,##0.00;&quot;\&quot;&quot;\&quot;&quot;\&quot;\-#,##0.00"/>
    <numFmt numFmtId="198" formatCode="_-* #,##0\ _k_r_-;\-* #,##0\ _k_r_-;_-* &quot;-&quot;\ _k_r_-;_-@_-"/>
    <numFmt numFmtId="199" formatCode="_-* #,##0.00\ _k_r_-;\-* #,##0.00\ _k_r_-;_-* &quot;-&quot;??\ _k_r_-;_-@_-"/>
    <numFmt numFmtId="200" formatCode="#,##0.00_);#,##0.00\)"/>
    <numFmt numFmtId="201" formatCode="0.00000&quot;  &quot;"/>
    <numFmt numFmtId="202" formatCode="&quot;$&quot;#,##0.00_);[Red]\(&quot;$&quot;#,##0.00\)"/>
    <numFmt numFmtId="203" formatCode="_-&quot;$&quot;* #,##0_-;\-&quot;$&quot;* #,##0_-;_-&quot;$&quot;* &quot;-&quot;_-;_-@_-"/>
    <numFmt numFmtId="204" formatCode="_-&quot;$&quot;* #,##0.00_-;\-&quot;$&quot;* #,##0.00_-;_-&quot;$&quot;* &quot;-&quot;??_-;_-@_-"/>
    <numFmt numFmtId="205" formatCode="_(&quot;$&quot;* #,##0.00_);_(&quot;$&quot;* \(#,##0.00\);_(&quot;$&quot;* &quot;-&quot;??_);_(@_)"/>
    <numFmt numFmtId="206" formatCode="_(&quot;$&quot;* #,##0_);_(&quot;$&quot;* \(#,##0\);_(&quot;$&quot;* &quot;-&quot;_);_(@_)"/>
    <numFmt numFmtId="207" formatCode="General_)"/>
    <numFmt numFmtId="208" formatCode="#.#"/>
    <numFmt numFmtId="209" formatCode="&quot;₩&quot;#,##0.00&quot;₩&quot;&quot;₩&quot;&quot;₩&quot;&quot;₩&quot;\!\ ;&quot;₩&quot;&quot;₩&quot;&quot;₩&quot;&quot;₩&quot;\!\(&quot;₩&quot;#,##0.00&quot;₩&quot;&quot;₩&quot;&quot;₩&quot;&quot;₩&quot;\!\)"/>
    <numFmt numFmtId="210" formatCode="&quot;₩&quot;#,##0;&quot;₩&quot;&quot;₩&quot;&quot;₩&quot;&quot;₩&quot;&quot;₩&quot;\!\-#,##0"/>
    <numFmt numFmtId="211" formatCode="_ * #,##0_ ;_ * \-#,##0_ ;_ * &quot;-&quot;??_ ;_ @_ "/>
  </numFmts>
  <fonts count="8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바탕체"/>
      <charset val="134"/>
    </font>
    <font>
      <u/>
      <sz val="8.4"/>
      <color indexed="12"/>
      <name val="Arial"/>
      <charset val="134"/>
    </font>
    <font>
      <sz val="10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0"/>
      <name val="Helv"/>
      <charset val="134"/>
    </font>
    <font>
      <sz val="10"/>
      <name val="MS Sans Serif"/>
      <charset val="134"/>
    </font>
    <font>
      <u val="singleAccounting"/>
      <vertAlign val="subscript"/>
      <sz val="10"/>
      <name val="Times New Roman"/>
      <charset val="134"/>
    </font>
    <font>
      <i/>
      <sz val="9"/>
      <name val="Times New Roman"/>
      <charset val="134"/>
    </font>
    <font>
      <sz val="12"/>
      <name val="官帕眉"/>
      <charset val="134"/>
    </font>
    <font>
      <sz val="11"/>
      <name val="돋움"/>
      <charset val="134"/>
    </font>
    <font>
      <sz val="11"/>
      <name val="돋움체"/>
      <charset val="129"/>
    </font>
    <font>
      <sz val="11"/>
      <color theme="0"/>
      <name val="宋体"/>
      <charset val="134"/>
      <scheme val="minor"/>
    </font>
    <font>
      <sz val="12"/>
      <name val="¹UAAA¼"/>
      <charset val="129"/>
    </font>
    <font>
      <sz val="12"/>
      <name val="¹ÙÅÁÃ¼"/>
      <charset val="129"/>
    </font>
    <font>
      <sz val="12"/>
      <name val="ⓒoUAAA¨u"/>
      <charset val="129"/>
    </font>
    <font>
      <sz val="12"/>
      <name val="System"/>
      <charset val="134"/>
    </font>
    <font>
      <sz val="10"/>
      <name val="±¼¸²Ã¼"/>
      <charset val="129"/>
    </font>
    <font>
      <b/>
      <sz val="10"/>
      <name val="Helv"/>
      <charset val="134"/>
    </font>
    <font>
      <sz val="12"/>
      <name val="Helv"/>
      <charset val="134"/>
    </font>
    <font>
      <sz val="11"/>
      <name val="굴림"/>
      <charset val="129"/>
    </font>
    <font>
      <sz val="1"/>
      <color indexed="8"/>
      <name val="Courier"/>
      <charset val="134"/>
    </font>
    <font>
      <sz val="10"/>
      <name val="돋움체"/>
      <charset val="129"/>
    </font>
    <font>
      <b/>
      <sz val="10"/>
      <name val="Geneva"/>
      <charset val="134"/>
    </font>
    <font>
      <sz val="8"/>
      <name val="Arial"/>
      <charset val="134"/>
    </font>
    <font>
      <b/>
      <sz val="12"/>
      <name val="Helv"/>
      <charset val="134"/>
    </font>
    <font>
      <b/>
      <sz val="12"/>
      <name val="Arial"/>
      <charset val="134"/>
    </font>
    <font>
      <b/>
      <sz val="1"/>
      <color indexed="8"/>
      <name val="Courier"/>
      <charset val="134"/>
    </font>
    <font>
      <sz val="10"/>
      <name val="Geneva"/>
      <charset val="134"/>
    </font>
    <font>
      <b/>
      <sz val="11"/>
      <name val="Helv"/>
      <charset val="134"/>
    </font>
    <font>
      <sz val="10"/>
      <color indexed="8"/>
      <name val="MS Sans Serif"/>
      <charset val="134"/>
    </font>
    <font>
      <b/>
      <sz val="11"/>
      <name val="Times New Roman"/>
      <charset val="134"/>
    </font>
    <font>
      <b/>
      <sz val="18"/>
      <color theme="3"/>
      <name val="宋体"/>
      <charset val="134"/>
      <scheme val="major"/>
    </font>
    <font>
      <sz val="12"/>
      <color indexed="24"/>
      <name val="바탕체"/>
      <charset val="134"/>
    </font>
    <font>
      <b/>
      <sz val="18"/>
      <color indexed="24"/>
      <name val="바탕체"/>
      <charset val="134"/>
    </font>
    <font>
      <b/>
      <sz val="15"/>
      <color indexed="24"/>
      <name val="바탕체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新細明體"/>
      <charset val="134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u/>
      <sz val="10"/>
      <color indexed="36"/>
      <name val="굴림체"/>
      <charset val="129"/>
    </font>
    <font>
      <sz val="11"/>
      <name val="蹈框"/>
      <charset val="134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0"/>
      <name val="PragmaticaCTT"/>
      <charset val="134"/>
    </font>
    <font>
      <sz val="10"/>
      <name val="Courier"/>
      <charset val="134"/>
    </font>
    <font>
      <sz val="14"/>
      <name val="뼻뮝"/>
      <charset val="129"/>
    </font>
    <font>
      <sz val="11"/>
      <color indexed="8"/>
      <name val="宋体"/>
      <charset val="134"/>
    </font>
    <font>
      <sz val="12"/>
      <name val="뼻뮝"/>
      <charset val="129"/>
    </font>
    <font>
      <sz val="10"/>
      <name val="명조"/>
      <charset val="129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hair">
        <color auto="1"/>
      </bottom>
      <diagonal/>
    </border>
    <border>
      <left/>
      <right/>
      <top style="double">
        <color auto="1"/>
      </top>
      <bottom/>
      <diagonal/>
    </border>
  </borders>
  <cellStyleXfs count="196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176" fontId="24" fillId="0" borderId="0"/>
    <xf numFmtId="176" fontId="25" fillId="0" borderId="0" applyNumberFormat="0" applyFill="0" applyBorder="0" applyAlignment="0" applyProtection="0">
      <alignment vertical="top"/>
      <protection locked="0"/>
    </xf>
    <xf numFmtId="177" fontId="26" fillId="0" borderId="0" applyFont="0" applyFill="0" applyBorder="0" applyAlignment="0" applyProtection="0"/>
    <xf numFmtId="178" fontId="27" fillId="0" borderId="0" applyFont="0" applyFill="0" applyBorder="0" applyAlignment="0" applyProtection="0"/>
    <xf numFmtId="49" fontId="28" fillId="0" borderId="0" applyProtection="0">
      <alignment horizontal="left"/>
    </xf>
    <xf numFmtId="176" fontId="28" fillId="0" borderId="0"/>
    <xf numFmtId="176" fontId="26" fillId="0" borderId="0"/>
    <xf numFmtId="176" fontId="29" fillId="0" borderId="0"/>
    <xf numFmtId="176" fontId="30" fillId="0" borderId="0"/>
    <xf numFmtId="179" fontId="28" fillId="0" borderId="0" applyFill="0" applyBorder="0" applyProtection="0">
      <alignment horizontal="right"/>
    </xf>
    <xf numFmtId="180" fontId="28" fillId="0" borderId="0" applyFill="0" applyBorder="0" applyProtection="0">
      <alignment horizontal="right"/>
    </xf>
    <xf numFmtId="181" fontId="31" fillId="0" borderId="0" applyFill="0" applyBorder="0" applyProtection="0">
      <alignment horizontal="center"/>
    </xf>
    <xf numFmtId="182" fontId="31" fillId="0" borderId="0" applyFill="0" applyBorder="0" applyProtection="0">
      <alignment horizontal="center"/>
    </xf>
    <xf numFmtId="183" fontId="32" fillId="0" borderId="0" applyFill="0" applyBorder="0" applyProtection="0">
      <alignment horizontal="right"/>
    </xf>
    <xf numFmtId="184" fontId="28" fillId="0" borderId="0" applyFill="0" applyBorder="0" applyProtection="0">
      <alignment horizontal="right"/>
    </xf>
    <xf numFmtId="185" fontId="28" fillId="0" borderId="0" applyFill="0" applyBorder="0" applyProtection="0">
      <alignment horizontal="right"/>
    </xf>
    <xf numFmtId="186" fontId="28" fillId="0" borderId="0" applyFill="0" applyBorder="0" applyProtection="0">
      <alignment horizontal="right"/>
    </xf>
    <xf numFmtId="187" fontId="28" fillId="0" borderId="0" applyFill="0" applyBorder="0" applyProtection="0">
      <alignment horizontal="right"/>
    </xf>
    <xf numFmtId="176" fontId="27" fillId="0" borderId="0"/>
    <xf numFmtId="188" fontId="26" fillId="0" borderId="0" applyFont="0" applyFill="0" applyBorder="0" applyAlignment="0" applyProtection="0"/>
    <xf numFmtId="176" fontId="33" fillId="0" borderId="13" applyAlignment="0"/>
    <xf numFmtId="176" fontId="0" fillId="34" borderId="0" applyNumberFormat="0" applyBorder="0" applyAlignment="0" applyProtection="0">
      <alignment vertical="center"/>
    </xf>
    <xf numFmtId="176" fontId="0" fillId="35" borderId="0" applyNumberFormat="0" applyBorder="0" applyAlignment="0" applyProtection="0">
      <alignment vertical="center"/>
    </xf>
    <xf numFmtId="176" fontId="0" fillId="36" borderId="0" applyNumberFormat="0" applyBorder="0" applyAlignment="0" applyProtection="0">
      <alignment vertical="center"/>
    </xf>
    <xf numFmtId="176" fontId="0" fillId="37" borderId="0" applyNumberFormat="0" applyBorder="0" applyAlignment="0" applyProtection="0">
      <alignment vertical="center"/>
    </xf>
    <xf numFmtId="176" fontId="0" fillId="38" borderId="0" applyNumberFormat="0" applyBorder="0" applyAlignment="0" applyProtection="0">
      <alignment vertical="center"/>
    </xf>
    <xf numFmtId="176" fontId="0" fillId="39" borderId="0" applyNumberFormat="0" applyBorder="0" applyAlignment="0" applyProtection="0">
      <alignment vertical="center"/>
    </xf>
    <xf numFmtId="176" fontId="26" fillId="0" borderId="0" applyBorder="0"/>
    <xf numFmtId="189" fontId="34" fillId="0" borderId="0" applyFont="0" applyFill="0" applyBorder="0" applyAlignment="0" applyProtection="0"/>
    <xf numFmtId="190" fontId="35" fillId="0" borderId="0" applyFont="0" applyFill="0" applyBorder="0" applyAlignment="0" applyProtection="0"/>
    <xf numFmtId="191" fontId="35" fillId="0" borderId="0" applyFont="0" applyFill="0" applyBorder="0" applyAlignment="0" applyProtection="0"/>
    <xf numFmtId="176" fontId="0" fillId="12" borderId="0" applyNumberFormat="0" applyBorder="0" applyAlignment="0" applyProtection="0">
      <alignment vertical="center"/>
    </xf>
    <xf numFmtId="176" fontId="0" fillId="16" borderId="0" applyNumberFormat="0" applyBorder="0" applyAlignment="0" applyProtection="0">
      <alignment vertical="center"/>
    </xf>
    <xf numFmtId="176" fontId="0" fillId="20" borderId="0" applyNumberFormat="0" applyBorder="0" applyAlignment="0" applyProtection="0">
      <alignment vertical="center"/>
    </xf>
    <xf numFmtId="176" fontId="0" fillId="24" borderId="0" applyNumberFormat="0" applyBorder="0" applyAlignment="0" applyProtection="0">
      <alignment vertical="center"/>
    </xf>
    <xf numFmtId="176" fontId="0" fillId="28" borderId="0" applyNumberFormat="0" applyBorder="0" applyAlignment="0" applyProtection="0">
      <alignment vertical="center"/>
    </xf>
    <xf numFmtId="176" fontId="0" fillId="32" borderId="0" applyNumberFormat="0" applyBorder="0" applyAlignment="0" applyProtection="0">
      <alignment vertical="center"/>
    </xf>
    <xf numFmtId="176" fontId="36" fillId="40" borderId="0" applyNumberFormat="0" applyBorder="0" applyAlignment="0" applyProtection="0">
      <alignment vertical="center"/>
    </xf>
    <xf numFmtId="176" fontId="36" fillId="41" borderId="0" applyNumberFormat="0" applyBorder="0" applyAlignment="0" applyProtection="0">
      <alignment vertical="center"/>
    </xf>
    <xf numFmtId="176" fontId="36" fillId="42" borderId="0" applyNumberFormat="0" applyBorder="0" applyAlignment="0" applyProtection="0">
      <alignment vertical="center"/>
    </xf>
    <xf numFmtId="176" fontId="36" fillId="43" borderId="0" applyNumberFormat="0" applyBorder="0" applyAlignment="0" applyProtection="0">
      <alignment vertical="center"/>
    </xf>
    <xf numFmtId="176" fontId="36" fillId="44" borderId="0" applyNumberFormat="0" applyBorder="0" applyAlignment="0" applyProtection="0">
      <alignment vertical="center"/>
    </xf>
    <xf numFmtId="176" fontId="36" fillId="45" borderId="0" applyNumberFormat="0" applyBorder="0" applyAlignment="0" applyProtection="0">
      <alignment vertical="center"/>
    </xf>
    <xf numFmtId="176" fontId="37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9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40" fillId="0" borderId="0"/>
    <xf numFmtId="176" fontId="38" fillId="0" borderId="0"/>
    <xf numFmtId="176" fontId="37" fillId="0" borderId="0"/>
    <xf numFmtId="176" fontId="41" fillId="0" borderId="0"/>
    <xf numFmtId="176" fontId="34" fillId="0" borderId="0" applyFill="0" applyBorder="0" applyAlignment="0"/>
    <xf numFmtId="176" fontId="42" fillId="0" borderId="0"/>
    <xf numFmtId="176" fontId="43" fillId="0" borderId="0"/>
    <xf numFmtId="188" fontId="44" fillId="0" borderId="0" applyFont="0" applyFill="0" applyBorder="0" applyAlignment="0" applyProtection="0">
      <alignment vertical="center"/>
    </xf>
    <xf numFmtId="4" fontId="45" fillId="0" borderId="0">
      <protection locked="0"/>
    </xf>
    <xf numFmtId="3" fontId="26" fillId="0" borderId="0" applyFont="0" applyFill="0" applyBorder="0" applyAlignment="0" applyProtection="0"/>
    <xf numFmtId="192" fontId="46" fillId="0" borderId="0" applyFont="0" applyFill="0" applyBorder="0" applyAlignment="0" applyProtection="0"/>
    <xf numFmtId="193" fontId="45" fillId="0" borderId="0">
      <protection locked="0"/>
    </xf>
    <xf numFmtId="176" fontId="28" fillId="0" borderId="0" applyFont="0" applyFill="0" applyBorder="0" applyAlignment="0" applyProtection="0"/>
    <xf numFmtId="194" fontId="45" fillId="0" borderId="0">
      <protection locked="0"/>
    </xf>
    <xf numFmtId="195" fontId="45" fillId="0" borderId="0">
      <protection locked="0"/>
    </xf>
    <xf numFmtId="176" fontId="47" fillId="0" borderId="14" applyNumberFormat="0">
      <alignment horizontal="left" vertical="center" wrapText="1"/>
    </xf>
    <xf numFmtId="38" fontId="48" fillId="46" borderId="0" applyNumberFormat="0" applyBorder="0" applyAlignment="0" applyProtection="0"/>
    <xf numFmtId="176" fontId="49" fillId="0" borderId="0">
      <alignment horizontal="left"/>
    </xf>
    <xf numFmtId="176" fontId="50" fillId="0" borderId="15" applyNumberFormat="0" applyAlignment="0" applyProtection="0">
      <alignment horizontal="left" vertical="center"/>
    </xf>
    <xf numFmtId="176" fontId="50" fillId="0" borderId="3">
      <alignment horizontal="left" vertical="center"/>
    </xf>
    <xf numFmtId="196" fontId="51" fillId="0" borderId="0">
      <protection locked="0"/>
    </xf>
    <xf numFmtId="10" fontId="48" fillId="47" borderId="1" applyNumberFormat="0" applyBorder="0" applyAlignment="0" applyProtection="0"/>
    <xf numFmtId="176" fontId="52" fillId="0" borderId="13" applyNumberFormat="0" applyBorder="0" applyAlignment="0">
      <alignment wrapText="1"/>
    </xf>
    <xf numFmtId="176" fontId="53" fillId="0" borderId="16"/>
    <xf numFmtId="197" fontId="26" fillId="0" borderId="0"/>
    <xf numFmtId="176" fontId="44" fillId="0" borderId="0">
      <alignment vertical="center"/>
    </xf>
    <xf numFmtId="10" fontId="26" fillId="0" borderId="0" applyFont="0" applyFill="0" applyBorder="0" applyAlignment="0" applyProtection="0"/>
    <xf numFmtId="176" fontId="54" fillId="0" borderId="0"/>
    <xf numFmtId="176" fontId="53" fillId="0" borderId="0"/>
    <xf numFmtId="40" fontId="55" fillId="0" borderId="0"/>
    <xf numFmtId="198" fontId="26" fillId="0" borderId="0" applyFont="0" applyFill="0" applyBorder="0" applyAlignment="0" applyProtection="0"/>
    <xf numFmtId="199" fontId="26" fillId="0" borderId="0" applyFont="0" applyFill="0" applyBorder="0" applyAlignment="0" applyProtection="0"/>
    <xf numFmtId="20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76" fontId="10" fillId="0" borderId="17" applyNumberFormat="0" applyFill="0" applyAlignment="0" applyProtection="0">
      <alignment vertical="center"/>
    </xf>
    <xf numFmtId="176" fontId="11" fillId="0" borderId="18" applyNumberFormat="0" applyFill="0" applyAlignment="0" applyProtection="0">
      <alignment vertical="center"/>
    </xf>
    <xf numFmtId="176" fontId="12" fillId="0" borderId="19" applyNumberFormat="0" applyFill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center"/>
    </xf>
    <xf numFmtId="176" fontId="34" fillId="0" borderId="0"/>
    <xf numFmtId="2" fontId="57" fillId="0" borderId="0" applyFont="0" applyFill="0" applyBorder="0" applyAlignment="0" applyProtection="0"/>
    <xf numFmtId="176" fontId="58" fillId="0" borderId="0" applyNumberFormat="0" applyFill="0" applyBorder="0" applyAlignment="0" applyProtection="0"/>
    <xf numFmtId="176" fontId="59" fillId="0" borderId="0" applyNumberFormat="0" applyFill="0" applyBorder="0" applyAlignment="0" applyProtection="0"/>
    <xf numFmtId="176" fontId="60" fillId="8" borderId="0" applyNumberFormat="0" applyBorder="0" applyAlignment="0" applyProtection="0">
      <alignment vertical="center"/>
    </xf>
    <xf numFmtId="176" fontId="1" fillId="0" borderId="0">
      <alignment vertical="center"/>
    </xf>
    <xf numFmtId="176" fontId="28" fillId="0" borderId="0">
      <protection locked="0"/>
    </xf>
    <xf numFmtId="176" fontId="0" fillId="0" borderId="0"/>
    <xf numFmtId="176" fontId="0" fillId="0" borderId="0"/>
    <xf numFmtId="176" fontId="0" fillId="0" borderId="0">
      <alignment vertical="center"/>
    </xf>
    <xf numFmtId="176" fontId="0" fillId="0" borderId="0"/>
    <xf numFmtId="202" fontId="24" fillId="0" borderId="1">
      <alignment horizontal="right" vertical="center" shrinkToFit="1"/>
    </xf>
    <xf numFmtId="176" fontId="57" fillId="0" borderId="0" applyFont="0" applyFill="0" applyBorder="0" applyAlignment="0" applyProtection="0"/>
    <xf numFmtId="9" fontId="33" fillId="0" borderId="0" applyFont="0" applyFill="0" applyBorder="0" applyAlignment="0" applyProtection="0"/>
    <xf numFmtId="176" fontId="61" fillId="7" borderId="0" applyNumberFormat="0" applyBorder="0" applyAlignment="0" applyProtection="0">
      <alignment vertical="center"/>
    </xf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76" fontId="62" fillId="0" borderId="12" applyNumberFormat="0" applyFill="0" applyAlignment="0" applyProtection="0">
      <alignment vertical="center"/>
    </xf>
    <xf numFmtId="203" fontId="63" fillId="0" borderId="0" applyFont="0" applyFill="0" applyBorder="0" applyAlignment="0" applyProtection="0"/>
    <xf numFmtId="204" fontId="63" fillId="0" borderId="0" applyFont="0" applyFill="0" applyBorder="0" applyAlignment="0" applyProtection="0"/>
    <xf numFmtId="176" fontId="64" fillId="5" borderId="8" applyNumberFormat="0" applyAlignment="0" applyProtection="0">
      <alignment vertical="center"/>
    </xf>
    <xf numFmtId="176" fontId="65" fillId="6" borderId="10" applyNumberFormat="0" applyAlignment="0" applyProtection="0">
      <alignment vertical="center"/>
    </xf>
    <xf numFmtId="176" fontId="66" fillId="0" borderId="0" applyNumberFormat="0" applyFill="0" applyBorder="0" applyAlignment="0" applyProtection="0">
      <alignment vertical="center"/>
    </xf>
    <xf numFmtId="176" fontId="67" fillId="0" borderId="0" applyNumberFormat="0" applyFill="0" applyBorder="0" applyAlignment="0" applyProtection="0">
      <alignment vertical="center"/>
    </xf>
    <xf numFmtId="176" fontId="68" fillId="0" borderId="11" applyNumberFormat="0" applyFill="0" applyAlignment="0" applyProtection="0">
      <alignment vertical="center"/>
    </xf>
    <xf numFmtId="176" fontId="69" fillId="0" borderId="0" applyNumberFormat="0" applyFill="0" applyBorder="0" applyAlignment="0" applyProtection="0">
      <alignment vertical="top"/>
      <protection locked="0"/>
    </xf>
    <xf numFmtId="176" fontId="70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70" fillId="0" borderId="0"/>
    <xf numFmtId="176" fontId="71" fillId="9" borderId="0" applyNumberFormat="0" applyBorder="0" applyAlignment="0" applyProtection="0">
      <alignment vertical="center"/>
    </xf>
    <xf numFmtId="176" fontId="72" fillId="5" borderId="9" applyNumberFormat="0" applyAlignment="0" applyProtection="0">
      <alignment vertical="center"/>
    </xf>
    <xf numFmtId="176" fontId="73" fillId="4" borderId="8" applyNumberFormat="0" applyAlignment="0" applyProtection="0">
      <alignment vertical="center"/>
    </xf>
    <xf numFmtId="205" fontId="26" fillId="0" borderId="0" applyFont="0" applyFill="0" applyBorder="0" applyAlignment="0" applyProtection="0"/>
    <xf numFmtId="206" fontId="26" fillId="0" borderId="0" applyFont="0" applyFill="0" applyBorder="0" applyAlignment="0" applyProtection="0"/>
    <xf numFmtId="176" fontId="74" fillId="0" borderId="0"/>
    <xf numFmtId="207" fontId="75" fillId="0" borderId="0"/>
    <xf numFmtId="176" fontId="76" fillId="0" borderId="0" applyFont="0" applyFill="0" applyBorder="0" applyAlignment="0" applyProtection="0"/>
    <xf numFmtId="176" fontId="36" fillId="10" borderId="0" applyNumberFormat="0" applyBorder="0" applyAlignment="0" applyProtection="0">
      <alignment vertical="center"/>
    </xf>
    <xf numFmtId="176" fontId="36" fillId="14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6" borderId="0" applyNumberFormat="0" applyBorder="0" applyAlignment="0" applyProtection="0">
      <alignment vertical="center"/>
    </xf>
    <xf numFmtId="176" fontId="36" fillId="30" borderId="0" applyNumberFormat="0" applyBorder="0" applyAlignment="0" applyProtection="0">
      <alignment vertical="center"/>
    </xf>
    <xf numFmtId="176" fontId="77" fillId="3" borderId="5" applyNumberFormat="0" applyFont="0" applyAlignment="0" applyProtection="0">
      <alignment vertical="center"/>
    </xf>
    <xf numFmtId="176" fontId="78" fillId="0" borderId="0"/>
    <xf numFmtId="176" fontId="34" fillId="0" borderId="0" applyFont="0" applyFill="0" applyBorder="0" applyAlignment="0" applyProtection="0"/>
    <xf numFmtId="176" fontId="79" fillId="0" borderId="20"/>
    <xf numFmtId="4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176" fontId="24" fillId="0" borderId="0" applyFont="0" applyFill="0" applyBorder="0" applyAlignment="0" applyProtection="0"/>
    <xf numFmtId="208" fontId="34" fillId="0" borderId="0" applyFont="0" applyFill="0" applyBorder="0" applyAlignment="0" applyProtection="0"/>
    <xf numFmtId="10" fontId="57" fillId="0" borderId="0" applyFont="0" applyFill="0" applyBorder="0" applyAlignment="0" applyProtection="0"/>
    <xf numFmtId="176" fontId="57" fillId="0" borderId="21" applyNumberFormat="0" applyFont="0" applyFill="0" applyAlignment="0" applyProtection="0"/>
    <xf numFmtId="209" fontId="57" fillId="0" borderId="0" applyFont="0" applyFill="0" applyBorder="0" applyAlignment="0" applyProtection="0"/>
    <xf numFmtId="210" fontId="57" fillId="0" borderId="0" applyFont="0" applyFill="0" applyBorder="0" applyAlignment="0" applyProtection="0"/>
  </cellStyleXfs>
  <cellXfs count="25">
    <xf numFmtId="176" fontId="0" fillId="0" borderId="0" xfId="0"/>
    <xf numFmtId="176" fontId="1" fillId="0" borderId="0" xfId="141" applyBorder="1" applyAlignment="1">
      <alignment horizontal="right" vertical="center"/>
    </xf>
    <xf numFmtId="176" fontId="1" fillId="0" borderId="0" xfId="141" applyNumberFormat="1" applyBorder="1" applyAlignment="1">
      <alignment horizontal="center" vertical="center"/>
    </xf>
    <xf numFmtId="176" fontId="1" fillId="0" borderId="0" xfId="141" applyBorder="1" applyAlignment="1">
      <alignment horizontal="center" vertical="center"/>
    </xf>
    <xf numFmtId="211" fontId="0" fillId="0" borderId="0" xfId="167" applyNumberFormat="1" applyFont="1" applyBorder="1" applyAlignment="1">
      <alignment horizontal="center" vertical="center"/>
    </xf>
    <xf numFmtId="176" fontId="2" fillId="0" borderId="0" xfId="141" applyNumberFormat="1" applyFont="1" applyBorder="1" applyAlignment="1">
      <alignment horizontal="left" vertical="center"/>
    </xf>
    <xf numFmtId="176" fontId="3" fillId="0" borderId="0" xfId="141" applyFont="1" applyAlignment="1">
      <alignment horizontal="center" vertical="center"/>
    </xf>
    <xf numFmtId="176" fontId="1" fillId="0" borderId="0" xfId="141" applyNumberFormat="1" applyBorder="1" applyAlignment="1">
      <alignment horizontal="right" vertical="center"/>
    </xf>
    <xf numFmtId="211" fontId="0" fillId="0" borderId="0" xfId="167" applyNumberFormat="1" applyFont="1" applyBorder="1" applyAlignment="1">
      <alignment horizontal="right" vertical="center"/>
    </xf>
    <xf numFmtId="176" fontId="4" fillId="0" borderId="1" xfId="141" applyNumberFormat="1" applyFont="1" applyBorder="1" applyAlignment="1">
      <alignment horizontal="center" vertical="center"/>
    </xf>
    <xf numFmtId="176" fontId="4" fillId="0" borderId="1" xfId="141" applyFont="1" applyBorder="1" applyAlignment="1">
      <alignment horizontal="center" vertical="center"/>
    </xf>
    <xf numFmtId="176" fontId="4" fillId="0" borderId="2" xfId="141" applyFont="1" applyBorder="1" applyAlignment="1">
      <alignment horizontal="center" vertical="center"/>
    </xf>
    <xf numFmtId="176" fontId="4" fillId="0" borderId="3" xfId="141" applyFont="1" applyBorder="1" applyAlignment="1">
      <alignment horizontal="center" vertical="center"/>
    </xf>
    <xf numFmtId="176" fontId="4" fillId="0" borderId="4" xfId="141" applyFont="1" applyBorder="1" applyAlignment="1">
      <alignment horizontal="center" vertical="center"/>
    </xf>
    <xf numFmtId="211" fontId="4" fillId="0" borderId="1" xfId="167" applyNumberFormat="1" applyFont="1" applyBorder="1" applyAlignment="1">
      <alignment horizontal="center" vertical="center" wrapText="1"/>
    </xf>
    <xf numFmtId="176" fontId="4" fillId="0" borderId="1" xfId="141" applyFont="1" applyBorder="1" applyAlignment="1">
      <alignment horizontal="center" vertical="center" wrapText="1"/>
    </xf>
    <xf numFmtId="176" fontId="1" fillId="0" borderId="1" xfId="141" applyNumberFormat="1" applyBorder="1" applyAlignment="1">
      <alignment horizontal="center" vertical="center"/>
    </xf>
    <xf numFmtId="176" fontId="1" fillId="0" borderId="1" xfId="141" applyBorder="1" applyAlignment="1">
      <alignment horizontal="center" vertical="center"/>
    </xf>
    <xf numFmtId="211" fontId="0" fillId="0" borderId="1" xfId="167" applyNumberFormat="1" applyFont="1" applyBorder="1" applyAlignment="1">
      <alignment horizontal="center" vertical="center"/>
    </xf>
    <xf numFmtId="9" fontId="0" fillId="0" borderId="1" xfId="130" applyFont="1" applyBorder="1" applyAlignment="1">
      <alignment horizontal="center" vertical="center"/>
    </xf>
    <xf numFmtId="211" fontId="0" fillId="2" borderId="1" xfId="167" applyNumberFormat="1" applyFont="1" applyFill="1" applyBorder="1" applyAlignment="1">
      <alignment horizontal="center" vertical="center"/>
    </xf>
    <xf numFmtId="176" fontId="1" fillId="0" borderId="0" xfId="141" applyBorder="1" applyAlignment="1">
      <alignment horizontal="center" vertical="center" wrapText="1"/>
    </xf>
    <xf numFmtId="211" fontId="4" fillId="0" borderId="1" xfId="167" applyNumberFormat="1" applyFont="1" applyBorder="1" applyAlignment="1">
      <alignment horizontal="center" vertical="center"/>
    </xf>
    <xf numFmtId="9" fontId="4" fillId="0" borderId="1" xfId="130" applyFont="1" applyBorder="1" applyAlignment="1">
      <alignment horizontal="center" vertical="center"/>
    </xf>
    <xf numFmtId="211" fontId="4" fillId="2" borderId="1" xfId="167" applyNumberFormat="1" applyFont="1" applyFill="1" applyBorder="1" applyAlignment="1">
      <alignment horizontal="center" vertical="center"/>
    </xf>
  </cellXfs>
  <cellStyles count="19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&amp;O?&amp;H?_x0008__x000f__x0007_?_x0007__x0001__x0001_" xfId="49"/>
    <cellStyle name="?????_VERA" xfId="50"/>
    <cellStyle name="??_VERA" xfId="51"/>
    <cellStyle name="?鹎%U龡&amp;H?_x0008_??_x0007__x0001__x0001_" xfId="52"/>
    <cellStyle name="@_text" xfId="53"/>
    <cellStyle name="_02년 기말-신개인연금" xfId="54"/>
    <cellStyle name="_02년 기말-유형자산" xfId="55"/>
    <cellStyle name="_0905-报告书" xfId="56"/>
    <cellStyle name="_별첨(계획서및실적서양식)" xfId="57"/>
    <cellStyle name="{Comma [0]}" xfId="58"/>
    <cellStyle name="{Comma}" xfId="59"/>
    <cellStyle name="{Date}" xfId="60"/>
    <cellStyle name="{Month}" xfId="61"/>
    <cellStyle name="{Percent}" xfId="62"/>
    <cellStyle name="{Thousand [0]}" xfId="63"/>
    <cellStyle name="{Thousand}" xfId="64"/>
    <cellStyle name="{Z'0000(1 dec)}" xfId="65"/>
    <cellStyle name="{Z'0000(4 dec)}" xfId="66"/>
    <cellStyle name="¤@?e_laroux" xfId="67"/>
    <cellStyle name="¤d¤A|i[0]_laroux" xfId="68"/>
    <cellStyle name="16" xfId="69"/>
    <cellStyle name="20% - 着色 1 2" xfId="70"/>
    <cellStyle name="20% - 着色 2 2" xfId="71"/>
    <cellStyle name="20% - 着色 3 2" xfId="72"/>
    <cellStyle name="20% - 着色 4 2" xfId="73"/>
    <cellStyle name="20% - 着色 5 2" xfId="74"/>
    <cellStyle name="20% - 着色 6 2" xfId="75"/>
    <cellStyle name="3232" xfId="76"/>
    <cellStyle name="³f¹o [0]_RESULTS" xfId="77"/>
    <cellStyle name="³f¹o[0]_laroux" xfId="78"/>
    <cellStyle name="³f¹o_laroux" xfId="79"/>
    <cellStyle name="40% - 着色 1 2" xfId="80"/>
    <cellStyle name="40% - 着色 2 2" xfId="81"/>
    <cellStyle name="40% - 着色 3 2" xfId="82"/>
    <cellStyle name="40% - 着色 4 2" xfId="83"/>
    <cellStyle name="40% - 着色 5 2" xfId="84"/>
    <cellStyle name="40% - 着色 6 2" xfId="85"/>
    <cellStyle name="60% - 着色 1 2" xfId="86"/>
    <cellStyle name="60% - 着色 2 2" xfId="87"/>
    <cellStyle name="60% - 着色 3 2" xfId="88"/>
    <cellStyle name="60% - 着色 4 2" xfId="89"/>
    <cellStyle name="60% - 着色 5 2" xfId="90"/>
    <cellStyle name="60% - 着色 6 2" xfId="91"/>
    <cellStyle name="AeE­ [0]_INQUIRY ¿μ¾÷AßAø " xfId="92"/>
    <cellStyle name="ÅëÈ­_INQUIRY ¿µ¾÷ÃßÁø " xfId="93"/>
    <cellStyle name="AeE¡ⓒ [0]_¨oCAuCoEⓒ÷ " xfId="94"/>
    <cellStyle name="ÄÞ¸¶ [0]_INQUIRY ¿µ¾÷ÃßÁø " xfId="95"/>
    <cellStyle name="C¡IA¨ª_¡ic¨u¡A¨￢I¨￢¡Æ AN¡Æe " xfId="96"/>
    <cellStyle name="Ç¥ÁØ_¿µ¾÷ÇöÈ² " xfId="97"/>
    <cellStyle name="C￥AØ_¿uº°A¸≫c½CAu_³≫ºI°eE¹´e AßA¤A÷AI " xfId="98"/>
    <cellStyle name="Ç¥ÁØ_Sheet1_¿µ¾÷ÇöÈ² " xfId="99"/>
    <cellStyle name="Calc Currency (0)" xfId="100"/>
    <cellStyle name="category" xfId="101"/>
    <cellStyle name="Comma  - Style1" xfId="102"/>
    <cellStyle name="Comma [0] 2" xfId="103"/>
    <cellStyle name="Comma 2" xfId="104"/>
    <cellStyle name="Comma0" xfId="105"/>
    <cellStyle name="Currency0" xfId="106"/>
    <cellStyle name="Date" xfId="107"/>
    <cellStyle name="Euro" xfId="108"/>
    <cellStyle name="F2" xfId="109"/>
    <cellStyle name="Fixed" xfId="110"/>
    <cellStyle name="GAR" xfId="111"/>
    <cellStyle name="Grey" xfId="112"/>
    <cellStyle name="HEADER" xfId="113"/>
    <cellStyle name="Header1" xfId="114"/>
    <cellStyle name="Header2" xfId="115"/>
    <cellStyle name="Heading1" xfId="116"/>
    <cellStyle name="Input [yellow]" xfId="117"/>
    <cellStyle name="Line Item" xfId="118"/>
    <cellStyle name="Model" xfId="119"/>
    <cellStyle name="Normal - Style1" xfId="120"/>
    <cellStyle name="Normal 2" xfId="121"/>
    <cellStyle name="Percent [2]" xfId="122"/>
    <cellStyle name="Style 1" xfId="123"/>
    <cellStyle name="subhead" xfId="124"/>
    <cellStyle name="Times New Roman" xfId="125"/>
    <cellStyle name="Tusental (0)_pldt" xfId="126"/>
    <cellStyle name="Tusental_pldt" xfId="127"/>
    <cellStyle name="Valuta (0)_pldt" xfId="128"/>
    <cellStyle name="Valuta_pldt" xfId="129"/>
    <cellStyle name="百分比 2" xfId="130"/>
    <cellStyle name="标题 1 2" xfId="131"/>
    <cellStyle name="标题 2 2" xfId="132"/>
    <cellStyle name="标题 3 2" xfId="133"/>
    <cellStyle name="标题 4 2" xfId="134"/>
    <cellStyle name="标题 5" xfId="135"/>
    <cellStyle name="標準_2004Con1Q-13_17_ConPack (v100)_NO_SSO" xfId="136"/>
    <cellStyle name="고정소숫점" xfId="137"/>
    <cellStyle name="고정출력1" xfId="138"/>
    <cellStyle name="고정출력2" xfId="139"/>
    <cellStyle name="差 2" xfId="140"/>
    <cellStyle name="常规 2" xfId="141"/>
    <cellStyle name="常规 2 2" xfId="142"/>
    <cellStyle name="常规 3" xfId="143"/>
    <cellStyle name="常规 3 3" xfId="144"/>
    <cellStyle name="常规 4" xfId="145"/>
    <cellStyle name="常规 6" xfId="146"/>
    <cellStyle name="금액" xfId="147"/>
    <cellStyle name="날짜" xfId="148"/>
    <cellStyle name="归盒啦_95" xfId="149"/>
    <cellStyle name="好 2" xfId="150"/>
    <cellStyle name="桁区切り [0.00]_PLDT" xfId="151"/>
    <cellStyle name="桁区切り_PLDT" xfId="152"/>
    <cellStyle name="汇总 2" xfId="153"/>
    <cellStyle name="貨幣 [0]_SGV" xfId="154"/>
    <cellStyle name="貨幣_SGV" xfId="155"/>
    <cellStyle name="计算 2" xfId="156"/>
    <cellStyle name="检查单元格 2" xfId="157"/>
    <cellStyle name="解释性文本 2" xfId="158"/>
    <cellStyle name="警告文本 2" xfId="159"/>
    <cellStyle name="链接单元格 2" xfId="160"/>
    <cellStyle name="뒤에 오는 하이퍼링크_계정신설" xfId="161"/>
    <cellStyle name="霓付 [0]_0120搬苞(捞沸)" xfId="162"/>
    <cellStyle name="千分位[0]_ 白土" xfId="163"/>
    <cellStyle name="千分位_ 白土" xfId="164"/>
    <cellStyle name="千位[0]_GetDateDialog" xfId="165"/>
    <cellStyle name="千位_GetDateDialog" xfId="166"/>
    <cellStyle name="千位分隔 2" xfId="167"/>
    <cellStyle name="千位分隔 4" xfId="168"/>
    <cellStyle name="钎霖_0120搬苞(捞沸)" xfId="169"/>
    <cellStyle name="适中 2" xfId="170"/>
    <cellStyle name="输出 2" xfId="171"/>
    <cellStyle name="输入 2" xfId="172"/>
    <cellStyle name="通貨 [0.00]_PLDT" xfId="173"/>
    <cellStyle name="通貨_PLDT" xfId="174"/>
    <cellStyle name="咬訌裝?report-2 " xfId="175"/>
    <cellStyle name="一般_AP&amp;ACC" xfId="176"/>
    <cellStyle name="믅됞_PRODUCT DETAIL Q1" xfId="177"/>
    <cellStyle name="着色 1 2" xfId="178"/>
    <cellStyle name="着色 2 2" xfId="179"/>
    <cellStyle name="着色 3 2" xfId="180"/>
    <cellStyle name="着色 4 2" xfId="181"/>
    <cellStyle name="着色 5 2" xfId="182"/>
    <cellStyle name="着色 6 2" xfId="183"/>
    <cellStyle name="注释 2" xfId="184"/>
    <cellStyle name="뷭?_BOOKSHIP" xfId="185"/>
    <cellStyle name="새귑[0]_롤痰삠悧 " xfId="186"/>
    <cellStyle name="안건회계법인" xfId="187"/>
    <cellStyle name="자리수" xfId="188"/>
    <cellStyle name="자리수0" xfId="189"/>
    <cellStyle name="콤냡?&lt;_x000f_$??:_x0009_`1_1 " xfId="190"/>
    <cellStyle name="콤마 [0]_  종  합  " xfId="191"/>
    <cellStyle name="퍼센트" xfId="192"/>
    <cellStyle name="합산" xfId="193"/>
    <cellStyle name="화폐기호" xfId="194"/>
    <cellStyle name="화폐기호0" xfId="19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6"/>
  <sheetViews>
    <sheetView tabSelected="1" workbookViewId="0">
      <selection activeCell="H23" sqref="H23"/>
    </sheetView>
  </sheetViews>
  <sheetFormatPr defaultColWidth="9" defaultRowHeight="15"/>
  <cols>
    <col min="1" max="1" width="9.5" style="2" customWidth="1"/>
    <col min="2" max="2" width="33.1272727272727" style="3" customWidth="1"/>
    <col min="3" max="3" width="20.3818181818182" style="3" customWidth="1"/>
    <col min="4" max="4" width="13.7454545454545" style="4" customWidth="1"/>
    <col min="5" max="5" width="13.5" style="4" customWidth="1"/>
    <col min="6" max="6" width="9.61818181818182" style="3" customWidth="1"/>
    <col min="7" max="7" width="12.2545454545455" style="4" customWidth="1"/>
    <col min="8" max="8" width="11.2545454545455" style="4" customWidth="1"/>
    <col min="9" max="9" width="9.61818181818182" style="3" customWidth="1"/>
    <col min="10" max="11" width="10.2545454545455" style="4" customWidth="1"/>
    <col min="12" max="12" width="9.61818181818182" style="3" customWidth="1"/>
    <col min="13" max="13" width="37.1272727272727" style="3" customWidth="1"/>
    <col min="14" max="256" width="9" style="3"/>
    <col min="257" max="257" width="4.87272727272727" style="3" customWidth="1"/>
    <col min="258" max="258" width="33.1272727272727" style="3" customWidth="1"/>
    <col min="259" max="259" width="20.3818181818182" style="3" customWidth="1"/>
    <col min="260" max="260" width="13.7454545454545" style="3" customWidth="1"/>
    <col min="261" max="261" width="13.5" style="3" customWidth="1"/>
    <col min="262" max="262" width="9.61818181818182" style="3" customWidth="1"/>
    <col min="263" max="264" width="12.2545454545455" style="3" customWidth="1"/>
    <col min="265" max="265" width="9.61818181818182" style="3" customWidth="1"/>
    <col min="266" max="267" width="10.2545454545455" style="3" customWidth="1"/>
    <col min="268" max="268" width="9.61818181818182" style="3" customWidth="1"/>
    <col min="269" max="512" width="9" style="3"/>
    <col min="513" max="513" width="4.87272727272727" style="3" customWidth="1"/>
    <col min="514" max="514" width="33.1272727272727" style="3" customWidth="1"/>
    <col min="515" max="515" width="20.3818181818182" style="3" customWidth="1"/>
    <col min="516" max="516" width="13.7454545454545" style="3" customWidth="1"/>
    <col min="517" max="517" width="13.5" style="3" customWidth="1"/>
    <col min="518" max="518" width="9.61818181818182" style="3" customWidth="1"/>
    <col min="519" max="520" width="12.2545454545455" style="3" customWidth="1"/>
    <col min="521" max="521" width="9.61818181818182" style="3" customWidth="1"/>
    <col min="522" max="523" width="10.2545454545455" style="3" customWidth="1"/>
    <col min="524" max="524" width="9.61818181818182" style="3" customWidth="1"/>
    <col min="525" max="768" width="9" style="3"/>
    <col min="769" max="769" width="4.87272727272727" style="3" customWidth="1"/>
    <col min="770" max="770" width="33.1272727272727" style="3" customWidth="1"/>
    <col min="771" max="771" width="20.3818181818182" style="3" customWidth="1"/>
    <col min="772" max="772" width="13.7454545454545" style="3" customWidth="1"/>
    <col min="773" max="773" width="13.5" style="3" customWidth="1"/>
    <col min="774" max="774" width="9.61818181818182" style="3" customWidth="1"/>
    <col min="775" max="776" width="12.2545454545455" style="3" customWidth="1"/>
    <col min="777" max="777" width="9.61818181818182" style="3" customWidth="1"/>
    <col min="778" max="779" width="10.2545454545455" style="3" customWidth="1"/>
    <col min="780" max="780" width="9.61818181818182" style="3" customWidth="1"/>
    <col min="781" max="1024" width="9" style="3"/>
    <col min="1025" max="1025" width="4.87272727272727" style="3" customWidth="1"/>
    <col min="1026" max="1026" width="33.1272727272727" style="3" customWidth="1"/>
    <col min="1027" max="1027" width="20.3818181818182" style="3" customWidth="1"/>
    <col min="1028" max="1028" width="13.7454545454545" style="3" customWidth="1"/>
    <col min="1029" max="1029" width="13.5" style="3" customWidth="1"/>
    <col min="1030" max="1030" width="9.61818181818182" style="3" customWidth="1"/>
    <col min="1031" max="1032" width="12.2545454545455" style="3" customWidth="1"/>
    <col min="1033" max="1033" width="9.61818181818182" style="3" customWidth="1"/>
    <col min="1034" max="1035" width="10.2545454545455" style="3" customWidth="1"/>
    <col min="1036" max="1036" width="9.61818181818182" style="3" customWidth="1"/>
    <col min="1037" max="1280" width="9" style="3"/>
    <col min="1281" max="1281" width="4.87272727272727" style="3" customWidth="1"/>
    <col min="1282" max="1282" width="33.1272727272727" style="3" customWidth="1"/>
    <col min="1283" max="1283" width="20.3818181818182" style="3" customWidth="1"/>
    <col min="1284" max="1284" width="13.7454545454545" style="3" customWidth="1"/>
    <col min="1285" max="1285" width="13.5" style="3" customWidth="1"/>
    <col min="1286" max="1286" width="9.61818181818182" style="3" customWidth="1"/>
    <col min="1287" max="1288" width="12.2545454545455" style="3" customWidth="1"/>
    <col min="1289" max="1289" width="9.61818181818182" style="3" customWidth="1"/>
    <col min="1290" max="1291" width="10.2545454545455" style="3" customWidth="1"/>
    <col min="1292" max="1292" width="9.61818181818182" style="3" customWidth="1"/>
    <col min="1293" max="1536" width="9" style="3"/>
    <col min="1537" max="1537" width="4.87272727272727" style="3" customWidth="1"/>
    <col min="1538" max="1538" width="33.1272727272727" style="3" customWidth="1"/>
    <col min="1539" max="1539" width="20.3818181818182" style="3" customWidth="1"/>
    <col min="1540" max="1540" width="13.7454545454545" style="3" customWidth="1"/>
    <col min="1541" max="1541" width="13.5" style="3" customWidth="1"/>
    <col min="1542" max="1542" width="9.61818181818182" style="3" customWidth="1"/>
    <col min="1543" max="1544" width="12.2545454545455" style="3" customWidth="1"/>
    <col min="1545" max="1545" width="9.61818181818182" style="3" customWidth="1"/>
    <col min="1546" max="1547" width="10.2545454545455" style="3" customWidth="1"/>
    <col min="1548" max="1548" width="9.61818181818182" style="3" customWidth="1"/>
    <col min="1549" max="1792" width="9" style="3"/>
    <col min="1793" max="1793" width="4.87272727272727" style="3" customWidth="1"/>
    <col min="1794" max="1794" width="33.1272727272727" style="3" customWidth="1"/>
    <col min="1795" max="1795" width="20.3818181818182" style="3" customWidth="1"/>
    <col min="1796" max="1796" width="13.7454545454545" style="3" customWidth="1"/>
    <col min="1797" max="1797" width="13.5" style="3" customWidth="1"/>
    <col min="1798" max="1798" width="9.61818181818182" style="3" customWidth="1"/>
    <col min="1799" max="1800" width="12.2545454545455" style="3" customWidth="1"/>
    <col min="1801" max="1801" width="9.61818181818182" style="3" customWidth="1"/>
    <col min="1802" max="1803" width="10.2545454545455" style="3" customWidth="1"/>
    <col min="1804" max="1804" width="9.61818181818182" style="3" customWidth="1"/>
    <col min="1805" max="2048" width="9" style="3"/>
    <col min="2049" max="2049" width="4.87272727272727" style="3" customWidth="1"/>
    <col min="2050" max="2050" width="33.1272727272727" style="3" customWidth="1"/>
    <col min="2051" max="2051" width="20.3818181818182" style="3" customWidth="1"/>
    <col min="2052" max="2052" width="13.7454545454545" style="3" customWidth="1"/>
    <col min="2053" max="2053" width="13.5" style="3" customWidth="1"/>
    <col min="2054" max="2054" width="9.61818181818182" style="3" customWidth="1"/>
    <col min="2055" max="2056" width="12.2545454545455" style="3" customWidth="1"/>
    <col min="2057" max="2057" width="9.61818181818182" style="3" customWidth="1"/>
    <col min="2058" max="2059" width="10.2545454545455" style="3" customWidth="1"/>
    <col min="2060" max="2060" width="9.61818181818182" style="3" customWidth="1"/>
    <col min="2061" max="2304" width="9" style="3"/>
    <col min="2305" max="2305" width="4.87272727272727" style="3" customWidth="1"/>
    <col min="2306" max="2306" width="33.1272727272727" style="3" customWidth="1"/>
    <col min="2307" max="2307" width="20.3818181818182" style="3" customWidth="1"/>
    <col min="2308" max="2308" width="13.7454545454545" style="3" customWidth="1"/>
    <col min="2309" max="2309" width="13.5" style="3" customWidth="1"/>
    <col min="2310" max="2310" width="9.61818181818182" style="3" customWidth="1"/>
    <col min="2311" max="2312" width="12.2545454545455" style="3" customWidth="1"/>
    <col min="2313" max="2313" width="9.61818181818182" style="3" customWidth="1"/>
    <col min="2314" max="2315" width="10.2545454545455" style="3" customWidth="1"/>
    <col min="2316" max="2316" width="9.61818181818182" style="3" customWidth="1"/>
    <col min="2317" max="2560" width="9" style="3"/>
    <col min="2561" max="2561" width="4.87272727272727" style="3" customWidth="1"/>
    <col min="2562" max="2562" width="33.1272727272727" style="3" customWidth="1"/>
    <col min="2563" max="2563" width="20.3818181818182" style="3" customWidth="1"/>
    <col min="2564" max="2564" width="13.7454545454545" style="3" customWidth="1"/>
    <col min="2565" max="2565" width="13.5" style="3" customWidth="1"/>
    <col min="2566" max="2566" width="9.61818181818182" style="3" customWidth="1"/>
    <col min="2567" max="2568" width="12.2545454545455" style="3" customWidth="1"/>
    <col min="2569" max="2569" width="9.61818181818182" style="3" customWidth="1"/>
    <col min="2570" max="2571" width="10.2545454545455" style="3" customWidth="1"/>
    <col min="2572" max="2572" width="9.61818181818182" style="3" customWidth="1"/>
    <col min="2573" max="2816" width="9" style="3"/>
    <col min="2817" max="2817" width="4.87272727272727" style="3" customWidth="1"/>
    <col min="2818" max="2818" width="33.1272727272727" style="3" customWidth="1"/>
    <col min="2819" max="2819" width="20.3818181818182" style="3" customWidth="1"/>
    <col min="2820" max="2820" width="13.7454545454545" style="3" customWidth="1"/>
    <col min="2821" max="2821" width="13.5" style="3" customWidth="1"/>
    <col min="2822" max="2822" width="9.61818181818182" style="3" customWidth="1"/>
    <col min="2823" max="2824" width="12.2545454545455" style="3" customWidth="1"/>
    <col min="2825" max="2825" width="9.61818181818182" style="3" customWidth="1"/>
    <col min="2826" max="2827" width="10.2545454545455" style="3" customWidth="1"/>
    <col min="2828" max="2828" width="9.61818181818182" style="3" customWidth="1"/>
    <col min="2829" max="3072" width="9" style="3"/>
    <col min="3073" max="3073" width="4.87272727272727" style="3" customWidth="1"/>
    <col min="3074" max="3074" width="33.1272727272727" style="3" customWidth="1"/>
    <col min="3075" max="3075" width="20.3818181818182" style="3" customWidth="1"/>
    <col min="3076" max="3076" width="13.7454545454545" style="3" customWidth="1"/>
    <col min="3077" max="3077" width="13.5" style="3" customWidth="1"/>
    <col min="3078" max="3078" width="9.61818181818182" style="3" customWidth="1"/>
    <col min="3079" max="3080" width="12.2545454545455" style="3" customWidth="1"/>
    <col min="3081" max="3081" width="9.61818181818182" style="3" customWidth="1"/>
    <col min="3082" max="3083" width="10.2545454545455" style="3" customWidth="1"/>
    <col min="3084" max="3084" width="9.61818181818182" style="3" customWidth="1"/>
    <col min="3085" max="3328" width="9" style="3"/>
    <col min="3329" max="3329" width="4.87272727272727" style="3" customWidth="1"/>
    <col min="3330" max="3330" width="33.1272727272727" style="3" customWidth="1"/>
    <col min="3331" max="3331" width="20.3818181818182" style="3" customWidth="1"/>
    <col min="3332" max="3332" width="13.7454545454545" style="3" customWidth="1"/>
    <col min="3333" max="3333" width="13.5" style="3" customWidth="1"/>
    <col min="3334" max="3334" width="9.61818181818182" style="3" customWidth="1"/>
    <col min="3335" max="3336" width="12.2545454545455" style="3" customWidth="1"/>
    <col min="3337" max="3337" width="9.61818181818182" style="3" customWidth="1"/>
    <col min="3338" max="3339" width="10.2545454545455" style="3" customWidth="1"/>
    <col min="3340" max="3340" width="9.61818181818182" style="3" customWidth="1"/>
    <col min="3341" max="3584" width="9" style="3"/>
    <col min="3585" max="3585" width="4.87272727272727" style="3" customWidth="1"/>
    <col min="3586" max="3586" width="33.1272727272727" style="3" customWidth="1"/>
    <col min="3587" max="3587" width="20.3818181818182" style="3" customWidth="1"/>
    <col min="3588" max="3588" width="13.7454545454545" style="3" customWidth="1"/>
    <col min="3589" max="3589" width="13.5" style="3" customWidth="1"/>
    <col min="3590" max="3590" width="9.61818181818182" style="3" customWidth="1"/>
    <col min="3591" max="3592" width="12.2545454545455" style="3" customWidth="1"/>
    <col min="3593" max="3593" width="9.61818181818182" style="3" customWidth="1"/>
    <col min="3594" max="3595" width="10.2545454545455" style="3" customWidth="1"/>
    <col min="3596" max="3596" width="9.61818181818182" style="3" customWidth="1"/>
    <col min="3597" max="3840" width="9" style="3"/>
    <col min="3841" max="3841" width="4.87272727272727" style="3" customWidth="1"/>
    <col min="3842" max="3842" width="33.1272727272727" style="3" customWidth="1"/>
    <col min="3843" max="3843" width="20.3818181818182" style="3" customWidth="1"/>
    <col min="3844" max="3844" width="13.7454545454545" style="3" customWidth="1"/>
    <col min="3845" max="3845" width="13.5" style="3" customWidth="1"/>
    <col min="3846" max="3846" width="9.61818181818182" style="3" customWidth="1"/>
    <col min="3847" max="3848" width="12.2545454545455" style="3" customWidth="1"/>
    <col min="3849" max="3849" width="9.61818181818182" style="3" customWidth="1"/>
    <col min="3850" max="3851" width="10.2545454545455" style="3" customWidth="1"/>
    <col min="3852" max="3852" width="9.61818181818182" style="3" customWidth="1"/>
    <col min="3853" max="4096" width="9" style="3"/>
    <col min="4097" max="4097" width="4.87272727272727" style="3" customWidth="1"/>
    <col min="4098" max="4098" width="33.1272727272727" style="3" customWidth="1"/>
    <col min="4099" max="4099" width="20.3818181818182" style="3" customWidth="1"/>
    <col min="4100" max="4100" width="13.7454545454545" style="3" customWidth="1"/>
    <col min="4101" max="4101" width="13.5" style="3" customWidth="1"/>
    <col min="4102" max="4102" width="9.61818181818182" style="3" customWidth="1"/>
    <col min="4103" max="4104" width="12.2545454545455" style="3" customWidth="1"/>
    <col min="4105" max="4105" width="9.61818181818182" style="3" customWidth="1"/>
    <col min="4106" max="4107" width="10.2545454545455" style="3" customWidth="1"/>
    <col min="4108" max="4108" width="9.61818181818182" style="3" customWidth="1"/>
    <col min="4109" max="4352" width="9" style="3"/>
    <col min="4353" max="4353" width="4.87272727272727" style="3" customWidth="1"/>
    <col min="4354" max="4354" width="33.1272727272727" style="3" customWidth="1"/>
    <col min="4355" max="4355" width="20.3818181818182" style="3" customWidth="1"/>
    <col min="4356" max="4356" width="13.7454545454545" style="3" customWidth="1"/>
    <col min="4357" max="4357" width="13.5" style="3" customWidth="1"/>
    <col min="4358" max="4358" width="9.61818181818182" style="3" customWidth="1"/>
    <col min="4359" max="4360" width="12.2545454545455" style="3" customWidth="1"/>
    <col min="4361" max="4361" width="9.61818181818182" style="3" customWidth="1"/>
    <col min="4362" max="4363" width="10.2545454545455" style="3" customWidth="1"/>
    <col min="4364" max="4364" width="9.61818181818182" style="3" customWidth="1"/>
    <col min="4365" max="4608" width="9" style="3"/>
    <col min="4609" max="4609" width="4.87272727272727" style="3" customWidth="1"/>
    <col min="4610" max="4610" width="33.1272727272727" style="3" customWidth="1"/>
    <col min="4611" max="4611" width="20.3818181818182" style="3" customWidth="1"/>
    <col min="4612" max="4612" width="13.7454545454545" style="3" customWidth="1"/>
    <col min="4613" max="4613" width="13.5" style="3" customWidth="1"/>
    <col min="4614" max="4614" width="9.61818181818182" style="3" customWidth="1"/>
    <col min="4615" max="4616" width="12.2545454545455" style="3" customWidth="1"/>
    <col min="4617" max="4617" width="9.61818181818182" style="3" customWidth="1"/>
    <col min="4618" max="4619" width="10.2545454545455" style="3" customWidth="1"/>
    <col min="4620" max="4620" width="9.61818181818182" style="3" customWidth="1"/>
    <col min="4621" max="4864" width="9" style="3"/>
    <col min="4865" max="4865" width="4.87272727272727" style="3" customWidth="1"/>
    <col min="4866" max="4866" width="33.1272727272727" style="3" customWidth="1"/>
    <col min="4867" max="4867" width="20.3818181818182" style="3" customWidth="1"/>
    <col min="4868" max="4868" width="13.7454545454545" style="3" customWidth="1"/>
    <col min="4869" max="4869" width="13.5" style="3" customWidth="1"/>
    <col min="4870" max="4870" width="9.61818181818182" style="3" customWidth="1"/>
    <col min="4871" max="4872" width="12.2545454545455" style="3" customWidth="1"/>
    <col min="4873" max="4873" width="9.61818181818182" style="3" customWidth="1"/>
    <col min="4874" max="4875" width="10.2545454545455" style="3" customWidth="1"/>
    <col min="4876" max="4876" width="9.61818181818182" style="3" customWidth="1"/>
    <col min="4877" max="5120" width="9" style="3"/>
    <col min="5121" max="5121" width="4.87272727272727" style="3" customWidth="1"/>
    <col min="5122" max="5122" width="33.1272727272727" style="3" customWidth="1"/>
    <col min="5123" max="5123" width="20.3818181818182" style="3" customWidth="1"/>
    <col min="5124" max="5124" width="13.7454545454545" style="3" customWidth="1"/>
    <col min="5125" max="5125" width="13.5" style="3" customWidth="1"/>
    <col min="5126" max="5126" width="9.61818181818182" style="3" customWidth="1"/>
    <col min="5127" max="5128" width="12.2545454545455" style="3" customWidth="1"/>
    <col min="5129" max="5129" width="9.61818181818182" style="3" customWidth="1"/>
    <col min="5130" max="5131" width="10.2545454545455" style="3" customWidth="1"/>
    <col min="5132" max="5132" width="9.61818181818182" style="3" customWidth="1"/>
    <col min="5133" max="5376" width="9" style="3"/>
    <col min="5377" max="5377" width="4.87272727272727" style="3" customWidth="1"/>
    <col min="5378" max="5378" width="33.1272727272727" style="3" customWidth="1"/>
    <col min="5379" max="5379" width="20.3818181818182" style="3" customWidth="1"/>
    <col min="5380" max="5380" width="13.7454545454545" style="3" customWidth="1"/>
    <col min="5381" max="5381" width="13.5" style="3" customWidth="1"/>
    <col min="5382" max="5382" width="9.61818181818182" style="3" customWidth="1"/>
    <col min="5383" max="5384" width="12.2545454545455" style="3" customWidth="1"/>
    <col min="5385" max="5385" width="9.61818181818182" style="3" customWidth="1"/>
    <col min="5386" max="5387" width="10.2545454545455" style="3" customWidth="1"/>
    <col min="5388" max="5388" width="9.61818181818182" style="3" customWidth="1"/>
    <col min="5389" max="5632" width="9" style="3"/>
    <col min="5633" max="5633" width="4.87272727272727" style="3" customWidth="1"/>
    <col min="5634" max="5634" width="33.1272727272727" style="3" customWidth="1"/>
    <col min="5635" max="5635" width="20.3818181818182" style="3" customWidth="1"/>
    <col min="5636" max="5636" width="13.7454545454545" style="3" customWidth="1"/>
    <col min="5637" max="5637" width="13.5" style="3" customWidth="1"/>
    <col min="5638" max="5638" width="9.61818181818182" style="3" customWidth="1"/>
    <col min="5639" max="5640" width="12.2545454545455" style="3" customWidth="1"/>
    <col min="5641" max="5641" width="9.61818181818182" style="3" customWidth="1"/>
    <col min="5642" max="5643" width="10.2545454545455" style="3" customWidth="1"/>
    <col min="5644" max="5644" width="9.61818181818182" style="3" customWidth="1"/>
    <col min="5645" max="5888" width="9" style="3"/>
    <col min="5889" max="5889" width="4.87272727272727" style="3" customWidth="1"/>
    <col min="5890" max="5890" width="33.1272727272727" style="3" customWidth="1"/>
    <col min="5891" max="5891" width="20.3818181818182" style="3" customWidth="1"/>
    <col min="5892" max="5892" width="13.7454545454545" style="3" customWidth="1"/>
    <col min="5893" max="5893" width="13.5" style="3" customWidth="1"/>
    <col min="5894" max="5894" width="9.61818181818182" style="3" customWidth="1"/>
    <col min="5895" max="5896" width="12.2545454545455" style="3" customWidth="1"/>
    <col min="5897" max="5897" width="9.61818181818182" style="3" customWidth="1"/>
    <col min="5898" max="5899" width="10.2545454545455" style="3" customWidth="1"/>
    <col min="5900" max="5900" width="9.61818181818182" style="3" customWidth="1"/>
    <col min="5901" max="6144" width="9" style="3"/>
    <col min="6145" max="6145" width="4.87272727272727" style="3" customWidth="1"/>
    <col min="6146" max="6146" width="33.1272727272727" style="3" customWidth="1"/>
    <col min="6147" max="6147" width="20.3818181818182" style="3" customWidth="1"/>
    <col min="6148" max="6148" width="13.7454545454545" style="3" customWidth="1"/>
    <col min="6149" max="6149" width="13.5" style="3" customWidth="1"/>
    <col min="6150" max="6150" width="9.61818181818182" style="3" customWidth="1"/>
    <col min="6151" max="6152" width="12.2545454545455" style="3" customWidth="1"/>
    <col min="6153" max="6153" width="9.61818181818182" style="3" customWidth="1"/>
    <col min="6154" max="6155" width="10.2545454545455" style="3" customWidth="1"/>
    <col min="6156" max="6156" width="9.61818181818182" style="3" customWidth="1"/>
    <col min="6157" max="6400" width="9" style="3"/>
    <col min="6401" max="6401" width="4.87272727272727" style="3" customWidth="1"/>
    <col min="6402" max="6402" width="33.1272727272727" style="3" customWidth="1"/>
    <col min="6403" max="6403" width="20.3818181818182" style="3" customWidth="1"/>
    <col min="6404" max="6404" width="13.7454545454545" style="3" customWidth="1"/>
    <col min="6405" max="6405" width="13.5" style="3" customWidth="1"/>
    <col min="6406" max="6406" width="9.61818181818182" style="3" customWidth="1"/>
    <col min="6407" max="6408" width="12.2545454545455" style="3" customWidth="1"/>
    <col min="6409" max="6409" width="9.61818181818182" style="3" customWidth="1"/>
    <col min="6410" max="6411" width="10.2545454545455" style="3" customWidth="1"/>
    <col min="6412" max="6412" width="9.61818181818182" style="3" customWidth="1"/>
    <col min="6413" max="6656" width="9" style="3"/>
    <col min="6657" max="6657" width="4.87272727272727" style="3" customWidth="1"/>
    <col min="6658" max="6658" width="33.1272727272727" style="3" customWidth="1"/>
    <col min="6659" max="6659" width="20.3818181818182" style="3" customWidth="1"/>
    <col min="6660" max="6660" width="13.7454545454545" style="3" customWidth="1"/>
    <col min="6661" max="6661" width="13.5" style="3" customWidth="1"/>
    <col min="6662" max="6662" width="9.61818181818182" style="3" customWidth="1"/>
    <col min="6663" max="6664" width="12.2545454545455" style="3" customWidth="1"/>
    <col min="6665" max="6665" width="9.61818181818182" style="3" customWidth="1"/>
    <col min="6666" max="6667" width="10.2545454545455" style="3" customWidth="1"/>
    <col min="6668" max="6668" width="9.61818181818182" style="3" customWidth="1"/>
    <col min="6669" max="6912" width="9" style="3"/>
    <col min="6913" max="6913" width="4.87272727272727" style="3" customWidth="1"/>
    <col min="6914" max="6914" width="33.1272727272727" style="3" customWidth="1"/>
    <col min="6915" max="6915" width="20.3818181818182" style="3" customWidth="1"/>
    <col min="6916" max="6916" width="13.7454545454545" style="3" customWidth="1"/>
    <col min="6917" max="6917" width="13.5" style="3" customWidth="1"/>
    <col min="6918" max="6918" width="9.61818181818182" style="3" customWidth="1"/>
    <col min="6919" max="6920" width="12.2545454545455" style="3" customWidth="1"/>
    <col min="6921" max="6921" width="9.61818181818182" style="3" customWidth="1"/>
    <col min="6922" max="6923" width="10.2545454545455" style="3" customWidth="1"/>
    <col min="6924" max="6924" width="9.61818181818182" style="3" customWidth="1"/>
    <col min="6925" max="7168" width="9" style="3"/>
    <col min="7169" max="7169" width="4.87272727272727" style="3" customWidth="1"/>
    <col min="7170" max="7170" width="33.1272727272727" style="3" customWidth="1"/>
    <col min="7171" max="7171" width="20.3818181818182" style="3" customWidth="1"/>
    <col min="7172" max="7172" width="13.7454545454545" style="3" customWidth="1"/>
    <col min="7173" max="7173" width="13.5" style="3" customWidth="1"/>
    <col min="7174" max="7174" width="9.61818181818182" style="3" customWidth="1"/>
    <col min="7175" max="7176" width="12.2545454545455" style="3" customWidth="1"/>
    <col min="7177" max="7177" width="9.61818181818182" style="3" customWidth="1"/>
    <col min="7178" max="7179" width="10.2545454545455" style="3" customWidth="1"/>
    <col min="7180" max="7180" width="9.61818181818182" style="3" customWidth="1"/>
    <col min="7181" max="7424" width="9" style="3"/>
    <col min="7425" max="7425" width="4.87272727272727" style="3" customWidth="1"/>
    <col min="7426" max="7426" width="33.1272727272727" style="3" customWidth="1"/>
    <col min="7427" max="7427" width="20.3818181818182" style="3" customWidth="1"/>
    <col min="7428" max="7428" width="13.7454545454545" style="3" customWidth="1"/>
    <col min="7429" max="7429" width="13.5" style="3" customWidth="1"/>
    <col min="7430" max="7430" width="9.61818181818182" style="3" customWidth="1"/>
    <col min="7431" max="7432" width="12.2545454545455" style="3" customWidth="1"/>
    <col min="7433" max="7433" width="9.61818181818182" style="3" customWidth="1"/>
    <col min="7434" max="7435" width="10.2545454545455" style="3" customWidth="1"/>
    <col min="7436" max="7436" width="9.61818181818182" style="3" customWidth="1"/>
    <col min="7437" max="7680" width="9" style="3"/>
    <col min="7681" max="7681" width="4.87272727272727" style="3" customWidth="1"/>
    <col min="7682" max="7682" width="33.1272727272727" style="3" customWidth="1"/>
    <col min="7683" max="7683" width="20.3818181818182" style="3" customWidth="1"/>
    <col min="7684" max="7684" width="13.7454545454545" style="3" customWidth="1"/>
    <col min="7685" max="7685" width="13.5" style="3" customWidth="1"/>
    <col min="7686" max="7686" width="9.61818181818182" style="3" customWidth="1"/>
    <col min="7687" max="7688" width="12.2545454545455" style="3" customWidth="1"/>
    <col min="7689" max="7689" width="9.61818181818182" style="3" customWidth="1"/>
    <col min="7690" max="7691" width="10.2545454545455" style="3" customWidth="1"/>
    <col min="7692" max="7692" width="9.61818181818182" style="3" customWidth="1"/>
    <col min="7693" max="7936" width="9" style="3"/>
    <col min="7937" max="7937" width="4.87272727272727" style="3" customWidth="1"/>
    <col min="7938" max="7938" width="33.1272727272727" style="3" customWidth="1"/>
    <col min="7939" max="7939" width="20.3818181818182" style="3" customWidth="1"/>
    <col min="7940" max="7940" width="13.7454545454545" style="3" customWidth="1"/>
    <col min="7941" max="7941" width="13.5" style="3" customWidth="1"/>
    <col min="7942" max="7942" width="9.61818181818182" style="3" customWidth="1"/>
    <col min="7943" max="7944" width="12.2545454545455" style="3" customWidth="1"/>
    <col min="7945" max="7945" width="9.61818181818182" style="3" customWidth="1"/>
    <col min="7946" max="7947" width="10.2545454545455" style="3" customWidth="1"/>
    <col min="7948" max="7948" width="9.61818181818182" style="3" customWidth="1"/>
    <col min="7949" max="8192" width="9" style="3"/>
    <col min="8193" max="8193" width="4.87272727272727" style="3" customWidth="1"/>
    <col min="8194" max="8194" width="33.1272727272727" style="3" customWidth="1"/>
    <col min="8195" max="8195" width="20.3818181818182" style="3" customWidth="1"/>
    <col min="8196" max="8196" width="13.7454545454545" style="3" customWidth="1"/>
    <col min="8197" max="8197" width="13.5" style="3" customWidth="1"/>
    <col min="8198" max="8198" width="9.61818181818182" style="3" customWidth="1"/>
    <col min="8199" max="8200" width="12.2545454545455" style="3" customWidth="1"/>
    <col min="8201" max="8201" width="9.61818181818182" style="3" customWidth="1"/>
    <col min="8202" max="8203" width="10.2545454545455" style="3" customWidth="1"/>
    <col min="8204" max="8204" width="9.61818181818182" style="3" customWidth="1"/>
    <col min="8205" max="8448" width="9" style="3"/>
    <col min="8449" max="8449" width="4.87272727272727" style="3" customWidth="1"/>
    <col min="8450" max="8450" width="33.1272727272727" style="3" customWidth="1"/>
    <col min="8451" max="8451" width="20.3818181818182" style="3" customWidth="1"/>
    <col min="8452" max="8452" width="13.7454545454545" style="3" customWidth="1"/>
    <col min="8453" max="8453" width="13.5" style="3" customWidth="1"/>
    <col min="8454" max="8454" width="9.61818181818182" style="3" customWidth="1"/>
    <col min="8455" max="8456" width="12.2545454545455" style="3" customWidth="1"/>
    <col min="8457" max="8457" width="9.61818181818182" style="3" customWidth="1"/>
    <col min="8458" max="8459" width="10.2545454545455" style="3" customWidth="1"/>
    <col min="8460" max="8460" width="9.61818181818182" style="3" customWidth="1"/>
    <col min="8461" max="8704" width="9" style="3"/>
    <col min="8705" max="8705" width="4.87272727272727" style="3" customWidth="1"/>
    <col min="8706" max="8706" width="33.1272727272727" style="3" customWidth="1"/>
    <col min="8707" max="8707" width="20.3818181818182" style="3" customWidth="1"/>
    <col min="8708" max="8708" width="13.7454545454545" style="3" customWidth="1"/>
    <col min="8709" max="8709" width="13.5" style="3" customWidth="1"/>
    <col min="8710" max="8710" width="9.61818181818182" style="3" customWidth="1"/>
    <col min="8711" max="8712" width="12.2545454545455" style="3" customWidth="1"/>
    <col min="8713" max="8713" width="9.61818181818182" style="3" customWidth="1"/>
    <col min="8714" max="8715" width="10.2545454545455" style="3" customWidth="1"/>
    <col min="8716" max="8716" width="9.61818181818182" style="3" customWidth="1"/>
    <col min="8717" max="8960" width="9" style="3"/>
    <col min="8961" max="8961" width="4.87272727272727" style="3" customWidth="1"/>
    <col min="8962" max="8962" width="33.1272727272727" style="3" customWidth="1"/>
    <col min="8963" max="8963" width="20.3818181818182" style="3" customWidth="1"/>
    <col min="8964" max="8964" width="13.7454545454545" style="3" customWidth="1"/>
    <col min="8965" max="8965" width="13.5" style="3" customWidth="1"/>
    <col min="8966" max="8966" width="9.61818181818182" style="3" customWidth="1"/>
    <col min="8967" max="8968" width="12.2545454545455" style="3" customWidth="1"/>
    <col min="8969" max="8969" width="9.61818181818182" style="3" customWidth="1"/>
    <col min="8970" max="8971" width="10.2545454545455" style="3" customWidth="1"/>
    <col min="8972" max="8972" width="9.61818181818182" style="3" customWidth="1"/>
    <col min="8973" max="9216" width="9" style="3"/>
    <col min="9217" max="9217" width="4.87272727272727" style="3" customWidth="1"/>
    <col min="9218" max="9218" width="33.1272727272727" style="3" customWidth="1"/>
    <col min="9219" max="9219" width="20.3818181818182" style="3" customWidth="1"/>
    <col min="9220" max="9220" width="13.7454545454545" style="3" customWidth="1"/>
    <col min="9221" max="9221" width="13.5" style="3" customWidth="1"/>
    <col min="9222" max="9222" width="9.61818181818182" style="3" customWidth="1"/>
    <col min="9223" max="9224" width="12.2545454545455" style="3" customWidth="1"/>
    <col min="9225" max="9225" width="9.61818181818182" style="3" customWidth="1"/>
    <col min="9226" max="9227" width="10.2545454545455" style="3" customWidth="1"/>
    <col min="9228" max="9228" width="9.61818181818182" style="3" customWidth="1"/>
    <col min="9229" max="9472" width="9" style="3"/>
    <col min="9473" max="9473" width="4.87272727272727" style="3" customWidth="1"/>
    <col min="9474" max="9474" width="33.1272727272727" style="3" customWidth="1"/>
    <col min="9475" max="9475" width="20.3818181818182" style="3" customWidth="1"/>
    <col min="9476" max="9476" width="13.7454545454545" style="3" customWidth="1"/>
    <col min="9477" max="9477" width="13.5" style="3" customWidth="1"/>
    <col min="9478" max="9478" width="9.61818181818182" style="3" customWidth="1"/>
    <col min="9479" max="9480" width="12.2545454545455" style="3" customWidth="1"/>
    <col min="9481" max="9481" width="9.61818181818182" style="3" customWidth="1"/>
    <col min="9482" max="9483" width="10.2545454545455" style="3" customWidth="1"/>
    <col min="9484" max="9484" width="9.61818181818182" style="3" customWidth="1"/>
    <col min="9485" max="9728" width="9" style="3"/>
    <col min="9729" max="9729" width="4.87272727272727" style="3" customWidth="1"/>
    <col min="9730" max="9730" width="33.1272727272727" style="3" customWidth="1"/>
    <col min="9731" max="9731" width="20.3818181818182" style="3" customWidth="1"/>
    <col min="9732" max="9732" width="13.7454545454545" style="3" customWidth="1"/>
    <col min="9733" max="9733" width="13.5" style="3" customWidth="1"/>
    <col min="9734" max="9734" width="9.61818181818182" style="3" customWidth="1"/>
    <col min="9735" max="9736" width="12.2545454545455" style="3" customWidth="1"/>
    <col min="9737" max="9737" width="9.61818181818182" style="3" customWidth="1"/>
    <col min="9738" max="9739" width="10.2545454545455" style="3" customWidth="1"/>
    <col min="9740" max="9740" width="9.61818181818182" style="3" customWidth="1"/>
    <col min="9741" max="9984" width="9" style="3"/>
    <col min="9985" max="9985" width="4.87272727272727" style="3" customWidth="1"/>
    <col min="9986" max="9986" width="33.1272727272727" style="3" customWidth="1"/>
    <col min="9987" max="9987" width="20.3818181818182" style="3" customWidth="1"/>
    <col min="9988" max="9988" width="13.7454545454545" style="3" customWidth="1"/>
    <col min="9989" max="9989" width="13.5" style="3" customWidth="1"/>
    <col min="9990" max="9990" width="9.61818181818182" style="3" customWidth="1"/>
    <col min="9991" max="9992" width="12.2545454545455" style="3" customWidth="1"/>
    <col min="9993" max="9993" width="9.61818181818182" style="3" customWidth="1"/>
    <col min="9994" max="9995" width="10.2545454545455" style="3" customWidth="1"/>
    <col min="9996" max="9996" width="9.61818181818182" style="3" customWidth="1"/>
    <col min="9997" max="10240" width="9" style="3"/>
    <col min="10241" max="10241" width="4.87272727272727" style="3" customWidth="1"/>
    <col min="10242" max="10242" width="33.1272727272727" style="3" customWidth="1"/>
    <col min="10243" max="10243" width="20.3818181818182" style="3" customWidth="1"/>
    <col min="10244" max="10244" width="13.7454545454545" style="3" customWidth="1"/>
    <col min="10245" max="10245" width="13.5" style="3" customWidth="1"/>
    <col min="10246" max="10246" width="9.61818181818182" style="3" customWidth="1"/>
    <col min="10247" max="10248" width="12.2545454545455" style="3" customWidth="1"/>
    <col min="10249" max="10249" width="9.61818181818182" style="3" customWidth="1"/>
    <col min="10250" max="10251" width="10.2545454545455" style="3" customWidth="1"/>
    <col min="10252" max="10252" width="9.61818181818182" style="3" customWidth="1"/>
    <col min="10253" max="10496" width="9" style="3"/>
    <col min="10497" max="10497" width="4.87272727272727" style="3" customWidth="1"/>
    <col min="10498" max="10498" width="33.1272727272727" style="3" customWidth="1"/>
    <col min="10499" max="10499" width="20.3818181818182" style="3" customWidth="1"/>
    <col min="10500" max="10500" width="13.7454545454545" style="3" customWidth="1"/>
    <col min="10501" max="10501" width="13.5" style="3" customWidth="1"/>
    <col min="10502" max="10502" width="9.61818181818182" style="3" customWidth="1"/>
    <col min="10503" max="10504" width="12.2545454545455" style="3" customWidth="1"/>
    <col min="10505" max="10505" width="9.61818181818182" style="3" customWidth="1"/>
    <col min="10506" max="10507" width="10.2545454545455" style="3" customWidth="1"/>
    <col min="10508" max="10508" width="9.61818181818182" style="3" customWidth="1"/>
    <col min="10509" max="10752" width="9" style="3"/>
    <col min="10753" max="10753" width="4.87272727272727" style="3" customWidth="1"/>
    <col min="10754" max="10754" width="33.1272727272727" style="3" customWidth="1"/>
    <col min="10755" max="10755" width="20.3818181818182" style="3" customWidth="1"/>
    <col min="10756" max="10756" width="13.7454545454545" style="3" customWidth="1"/>
    <col min="10757" max="10757" width="13.5" style="3" customWidth="1"/>
    <col min="10758" max="10758" width="9.61818181818182" style="3" customWidth="1"/>
    <col min="10759" max="10760" width="12.2545454545455" style="3" customWidth="1"/>
    <col min="10761" max="10761" width="9.61818181818182" style="3" customWidth="1"/>
    <col min="10762" max="10763" width="10.2545454545455" style="3" customWidth="1"/>
    <col min="10764" max="10764" width="9.61818181818182" style="3" customWidth="1"/>
    <col min="10765" max="11008" width="9" style="3"/>
    <col min="11009" max="11009" width="4.87272727272727" style="3" customWidth="1"/>
    <col min="11010" max="11010" width="33.1272727272727" style="3" customWidth="1"/>
    <col min="11011" max="11011" width="20.3818181818182" style="3" customWidth="1"/>
    <col min="11012" max="11012" width="13.7454545454545" style="3" customWidth="1"/>
    <col min="11013" max="11013" width="13.5" style="3" customWidth="1"/>
    <col min="11014" max="11014" width="9.61818181818182" style="3" customWidth="1"/>
    <col min="11015" max="11016" width="12.2545454545455" style="3" customWidth="1"/>
    <col min="11017" max="11017" width="9.61818181818182" style="3" customWidth="1"/>
    <col min="11018" max="11019" width="10.2545454545455" style="3" customWidth="1"/>
    <col min="11020" max="11020" width="9.61818181818182" style="3" customWidth="1"/>
    <col min="11021" max="11264" width="9" style="3"/>
    <col min="11265" max="11265" width="4.87272727272727" style="3" customWidth="1"/>
    <col min="11266" max="11266" width="33.1272727272727" style="3" customWidth="1"/>
    <col min="11267" max="11267" width="20.3818181818182" style="3" customWidth="1"/>
    <col min="11268" max="11268" width="13.7454545454545" style="3" customWidth="1"/>
    <col min="11269" max="11269" width="13.5" style="3" customWidth="1"/>
    <col min="11270" max="11270" width="9.61818181818182" style="3" customWidth="1"/>
    <col min="11271" max="11272" width="12.2545454545455" style="3" customWidth="1"/>
    <col min="11273" max="11273" width="9.61818181818182" style="3" customWidth="1"/>
    <col min="11274" max="11275" width="10.2545454545455" style="3" customWidth="1"/>
    <col min="11276" max="11276" width="9.61818181818182" style="3" customWidth="1"/>
    <col min="11277" max="11520" width="9" style="3"/>
    <col min="11521" max="11521" width="4.87272727272727" style="3" customWidth="1"/>
    <col min="11522" max="11522" width="33.1272727272727" style="3" customWidth="1"/>
    <col min="11523" max="11523" width="20.3818181818182" style="3" customWidth="1"/>
    <col min="11524" max="11524" width="13.7454545454545" style="3" customWidth="1"/>
    <col min="11525" max="11525" width="13.5" style="3" customWidth="1"/>
    <col min="11526" max="11526" width="9.61818181818182" style="3" customWidth="1"/>
    <col min="11527" max="11528" width="12.2545454545455" style="3" customWidth="1"/>
    <col min="11529" max="11529" width="9.61818181818182" style="3" customWidth="1"/>
    <col min="11530" max="11531" width="10.2545454545455" style="3" customWidth="1"/>
    <col min="11532" max="11532" width="9.61818181818182" style="3" customWidth="1"/>
    <col min="11533" max="11776" width="9" style="3"/>
    <col min="11777" max="11777" width="4.87272727272727" style="3" customWidth="1"/>
    <col min="11778" max="11778" width="33.1272727272727" style="3" customWidth="1"/>
    <col min="11779" max="11779" width="20.3818181818182" style="3" customWidth="1"/>
    <col min="11780" max="11780" width="13.7454545454545" style="3" customWidth="1"/>
    <col min="11781" max="11781" width="13.5" style="3" customWidth="1"/>
    <col min="11782" max="11782" width="9.61818181818182" style="3" customWidth="1"/>
    <col min="11783" max="11784" width="12.2545454545455" style="3" customWidth="1"/>
    <col min="11785" max="11785" width="9.61818181818182" style="3" customWidth="1"/>
    <col min="11786" max="11787" width="10.2545454545455" style="3" customWidth="1"/>
    <col min="11788" max="11788" width="9.61818181818182" style="3" customWidth="1"/>
    <col min="11789" max="12032" width="9" style="3"/>
    <col min="12033" max="12033" width="4.87272727272727" style="3" customWidth="1"/>
    <col min="12034" max="12034" width="33.1272727272727" style="3" customWidth="1"/>
    <col min="12035" max="12035" width="20.3818181818182" style="3" customWidth="1"/>
    <col min="12036" max="12036" width="13.7454545454545" style="3" customWidth="1"/>
    <col min="12037" max="12037" width="13.5" style="3" customWidth="1"/>
    <col min="12038" max="12038" width="9.61818181818182" style="3" customWidth="1"/>
    <col min="12039" max="12040" width="12.2545454545455" style="3" customWidth="1"/>
    <col min="12041" max="12041" width="9.61818181818182" style="3" customWidth="1"/>
    <col min="12042" max="12043" width="10.2545454545455" style="3" customWidth="1"/>
    <col min="12044" max="12044" width="9.61818181818182" style="3" customWidth="1"/>
    <col min="12045" max="12288" width="9" style="3"/>
    <col min="12289" max="12289" width="4.87272727272727" style="3" customWidth="1"/>
    <col min="12290" max="12290" width="33.1272727272727" style="3" customWidth="1"/>
    <col min="12291" max="12291" width="20.3818181818182" style="3" customWidth="1"/>
    <col min="12292" max="12292" width="13.7454545454545" style="3" customWidth="1"/>
    <col min="12293" max="12293" width="13.5" style="3" customWidth="1"/>
    <col min="12294" max="12294" width="9.61818181818182" style="3" customWidth="1"/>
    <col min="12295" max="12296" width="12.2545454545455" style="3" customWidth="1"/>
    <col min="12297" max="12297" width="9.61818181818182" style="3" customWidth="1"/>
    <col min="12298" max="12299" width="10.2545454545455" style="3" customWidth="1"/>
    <col min="12300" max="12300" width="9.61818181818182" style="3" customWidth="1"/>
    <col min="12301" max="12544" width="9" style="3"/>
    <col min="12545" max="12545" width="4.87272727272727" style="3" customWidth="1"/>
    <col min="12546" max="12546" width="33.1272727272727" style="3" customWidth="1"/>
    <col min="12547" max="12547" width="20.3818181818182" style="3" customWidth="1"/>
    <col min="12548" max="12548" width="13.7454545454545" style="3" customWidth="1"/>
    <col min="12549" max="12549" width="13.5" style="3" customWidth="1"/>
    <col min="12550" max="12550" width="9.61818181818182" style="3" customWidth="1"/>
    <col min="12551" max="12552" width="12.2545454545455" style="3" customWidth="1"/>
    <col min="12553" max="12553" width="9.61818181818182" style="3" customWidth="1"/>
    <col min="12554" max="12555" width="10.2545454545455" style="3" customWidth="1"/>
    <col min="12556" max="12556" width="9.61818181818182" style="3" customWidth="1"/>
    <col min="12557" max="12800" width="9" style="3"/>
    <col min="12801" max="12801" width="4.87272727272727" style="3" customWidth="1"/>
    <col min="12802" max="12802" width="33.1272727272727" style="3" customWidth="1"/>
    <col min="12803" max="12803" width="20.3818181818182" style="3" customWidth="1"/>
    <col min="12804" max="12804" width="13.7454545454545" style="3" customWidth="1"/>
    <col min="12805" max="12805" width="13.5" style="3" customWidth="1"/>
    <col min="12806" max="12806" width="9.61818181818182" style="3" customWidth="1"/>
    <col min="12807" max="12808" width="12.2545454545455" style="3" customWidth="1"/>
    <col min="12809" max="12809" width="9.61818181818182" style="3" customWidth="1"/>
    <col min="12810" max="12811" width="10.2545454545455" style="3" customWidth="1"/>
    <col min="12812" max="12812" width="9.61818181818182" style="3" customWidth="1"/>
    <col min="12813" max="13056" width="9" style="3"/>
    <col min="13057" max="13057" width="4.87272727272727" style="3" customWidth="1"/>
    <col min="13058" max="13058" width="33.1272727272727" style="3" customWidth="1"/>
    <col min="13059" max="13059" width="20.3818181818182" style="3" customWidth="1"/>
    <col min="13060" max="13060" width="13.7454545454545" style="3" customWidth="1"/>
    <col min="13061" max="13061" width="13.5" style="3" customWidth="1"/>
    <col min="13062" max="13062" width="9.61818181818182" style="3" customWidth="1"/>
    <col min="13063" max="13064" width="12.2545454545455" style="3" customWidth="1"/>
    <col min="13065" max="13065" width="9.61818181818182" style="3" customWidth="1"/>
    <col min="13066" max="13067" width="10.2545454545455" style="3" customWidth="1"/>
    <col min="13068" max="13068" width="9.61818181818182" style="3" customWidth="1"/>
    <col min="13069" max="13312" width="9" style="3"/>
    <col min="13313" max="13313" width="4.87272727272727" style="3" customWidth="1"/>
    <col min="13314" max="13314" width="33.1272727272727" style="3" customWidth="1"/>
    <col min="13315" max="13315" width="20.3818181818182" style="3" customWidth="1"/>
    <col min="13316" max="13316" width="13.7454545454545" style="3" customWidth="1"/>
    <col min="13317" max="13317" width="13.5" style="3" customWidth="1"/>
    <col min="13318" max="13318" width="9.61818181818182" style="3" customWidth="1"/>
    <col min="13319" max="13320" width="12.2545454545455" style="3" customWidth="1"/>
    <col min="13321" max="13321" width="9.61818181818182" style="3" customWidth="1"/>
    <col min="13322" max="13323" width="10.2545454545455" style="3" customWidth="1"/>
    <col min="13324" max="13324" width="9.61818181818182" style="3" customWidth="1"/>
    <col min="13325" max="13568" width="9" style="3"/>
    <col min="13569" max="13569" width="4.87272727272727" style="3" customWidth="1"/>
    <col min="13570" max="13570" width="33.1272727272727" style="3" customWidth="1"/>
    <col min="13571" max="13571" width="20.3818181818182" style="3" customWidth="1"/>
    <col min="13572" max="13572" width="13.7454545454545" style="3" customWidth="1"/>
    <col min="13573" max="13573" width="13.5" style="3" customWidth="1"/>
    <col min="13574" max="13574" width="9.61818181818182" style="3" customWidth="1"/>
    <col min="13575" max="13576" width="12.2545454545455" style="3" customWidth="1"/>
    <col min="13577" max="13577" width="9.61818181818182" style="3" customWidth="1"/>
    <col min="13578" max="13579" width="10.2545454545455" style="3" customWidth="1"/>
    <col min="13580" max="13580" width="9.61818181818182" style="3" customWidth="1"/>
    <col min="13581" max="13824" width="9" style="3"/>
    <col min="13825" max="13825" width="4.87272727272727" style="3" customWidth="1"/>
    <col min="13826" max="13826" width="33.1272727272727" style="3" customWidth="1"/>
    <col min="13827" max="13827" width="20.3818181818182" style="3" customWidth="1"/>
    <col min="13828" max="13828" width="13.7454545454545" style="3" customWidth="1"/>
    <col min="13829" max="13829" width="13.5" style="3" customWidth="1"/>
    <col min="13830" max="13830" width="9.61818181818182" style="3" customWidth="1"/>
    <col min="13831" max="13832" width="12.2545454545455" style="3" customWidth="1"/>
    <col min="13833" max="13833" width="9.61818181818182" style="3" customWidth="1"/>
    <col min="13834" max="13835" width="10.2545454545455" style="3" customWidth="1"/>
    <col min="13836" max="13836" width="9.61818181818182" style="3" customWidth="1"/>
    <col min="13837" max="14080" width="9" style="3"/>
    <col min="14081" max="14081" width="4.87272727272727" style="3" customWidth="1"/>
    <col min="14082" max="14082" width="33.1272727272727" style="3" customWidth="1"/>
    <col min="14083" max="14083" width="20.3818181818182" style="3" customWidth="1"/>
    <col min="14084" max="14084" width="13.7454545454545" style="3" customWidth="1"/>
    <col min="14085" max="14085" width="13.5" style="3" customWidth="1"/>
    <col min="14086" max="14086" width="9.61818181818182" style="3" customWidth="1"/>
    <col min="14087" max="14088" width="12.2545454545455" style="3" customWidth="1"/>
    <col min="14089" max="14089" width="9.61818181818182" style="3" customWidth="1"/>
    <col min="14090" max="14091" width="10.2545454545455" style="3" customWidth="1"/>
    <col min="14092" max="14092" width="9.61818181818182" style="3" customWidth="1"/>
    <col min="14093" max="14336" width="9" style="3"/>
    <col min="14337" max="14337" width="4.87272727272727" style="3" customWidth="1"/>
    <col min="14338" max="14338" width="33.1272727272727" style="3" customWidth="1"/>
    <col min="14339" max="14339" width="20.3818181818182" style="3" customWidth="1"/>
    <col min="14340" max="14340" width="13.7454545454545" style="3" customWidth="1"/>
    <col min="14341" max="14341" width="13.5" style="3" customWidth="1"/>
    <col min="14342" max="14342" width="9.61818181818182" style="3" customWidth="1"/>
    <col min="14343" max="14344" width="12.2545454545455" style="3" customWidth="1"/>
    <col min="14345" max="14345" width="9.61818181818182" style="3" customWidth="1"/>
    <col min="14346" max="14347" width="10.2545454545455" style="3" customWidth="1"/>
    <col min="14348" max="14348" width="9.61818181818182" style="3" customWidth="1"/>
    <col min="14349" max="14592" width="9" style="3"/>
    <col min="14593" max="14593" width="4.87272727272727" style="3" customWidth="1"/>
    <col min="14594" max="14594" width="33.1272727272727" style="3" customWidth="1"/>
    <col min="14595" max="14595" width="20.3818181818182" style="3" customWidth="1"/>
    <col min="14596" max="14596" width="13.7454545454545" style="3" customWidth="1"/>
    <col min="14597" max="14597" width="13.5" style="3" customWidth="1"/>
    <col min="14598" max="14598" width="9.61818181818182" style="3" customWidth="1"/>
    <col min="14599" max="14600" width="12.2545454545455" style="3" customWidth="1"/>
    <col min="14601" max="14601" width="9.61818181818182" style="3" customWidth="1"/>
    <col min="14602" max="14603" width="10.2545454545455" style="3" customWidth="1"/>
    <col min="14604" max="14604" width="9.61818181818182" style="3" customWidth="1"/>
    <col min="14605" max="14848" width="9" style="3"/>
    <col min="14849" max="14849" width="4.87272727272727" style="3" customWidth="1"/>
    <col min="14850" max="14850" width="33.1272727272727" style="3" customWidth="1"/>
    <col min="14851" max="14851" width="20.3818181818182" style="3" customWidth="1"/>
    <col min="14852" max="14852" width="13.7454545454545" style="3" customWidth="1"/>
    <col min="14853" max="14853" width="13.5" style="3" customWidth="1"/>
    <col min="14854" max="14854" width="9.61818181818182" style="3" customWidth="1"/>
    <col min="14855" max="14856" width="12.2545454545455" style="3" customWidth="1"/>
    <col min="14857" max="14857" width="9.61818181818182" style="3" customWidth="1"/>
    <col min="14858" max="14859" width="10.2545454545455" style="3" customWidth="1"/>
    <col min="14860" max="14860" width="9.61818181818182" style="3" customWidth="1"/>
    <col min="14861" max="15104" width="9" style="3"/>
    <col min="15105" max="15105" width="4.87272727272727" style="3" customWidth="1"/>
    <col min="15106" max="15106" width="33.1272727272727" style="3" customWidth="1"/>
    <col min="15107" max="15107" width="20.3818181818182" style="3" customWidth="1"/>
    <col min="15108" max="15108" width="13.7454545454545" style="3" customWidth="1"/>
    <col min="15109" max="15109" width="13.5" style="3" customWidth="1"/>
    <col min="15110" max="15110" width="9.61818181818182" style="3" customWidth="1"/>
    <col min="15111" max="15112" width="12.2545454545455" style="3" customWidth="1"/>
    <col min="15113" max="15113" width="9.61818181818182" style="3" customWidth="1"/>
    <col min="15114" max="15115" width="10.2545454545455" style="3" customWidth="1"/>
    <col min="15116" max="15116" width="9.61818181818182" style="3" customWidth="1"/>
    <col min="15117" max="15360" width="9" style="3"/>
    <col min="15361" max="15361" width="4.87272727272727" style="3" customWidth="1"/>
    <col min="15362" max="15362" width="33.1272727272727" style="3" customWidth="1"/>
    <col min="15363" max="15363" width="20.3818181818182" style="3" customWidth="1"/>
    <col min="15364" max="15364" width="13.7454545454545" style="3" customWidth="1"/>
    <col min="15365" max="15365" width="13.5" style="3" customWidth="1"/>
    <col min="15366" max="15366" width="9.61818181818182" style="3" customWidth="1"/>
    <col min="15367" max="15368" width="12.2545454545455" style="3" customWidth="1"/>
    <col min="15369" max="15369" width="9.61818181818182" style="3" customWidth="1"/>
    <col min="15370" max="15371" width="10.2545454545455" style="3" customWidth="1"/>
    <col min="15372" max="15372" width="9.61818181818182" style="3" customWidth="1"/>
    <col min="15373" max="15616" width="9" style="3"/>
    <col min="15617" max="15617" width="4.87272727272727" style="3" customWidth="1"/>
    <col min="15618" max="15618" width="33.1272727272727" style="3" customWidth="1"/>
    <col min="15619" max="15619" width="20.3818181818182" style="3" customWidth="1"/>
    <col min="15620" max="15620" width="13.7454545454545" style="3" customWidth="1"/>
    <col min="15621" max="15621" width="13.5" style="3" customWidth="1"/>
    <col min="15622" max="15622" width="9.61818181818182" style="3" customWidth="1"/>
    <col min="15623" max="15624" width="12.2545454545455" style="3" customWidth="1"/>
    <col min="15625" max="15625" width="9.61818181818182" style="3" customWidth="1"/>
    <col min="15626" max="15627" width="10.2545454545455" style="3" customWidth="1"/>
    <col min="15628" max="15628" width="9.61818181818182" style="3" customWidth="1"/>
    <col min="15629" max="15872" width="9" style="3"/>
    <col min="15873" max="15873" width="4.87272727272727" style="3" customWidth="1"/>
    <col min="15874" max="15874" width="33.1272727272727" style="3" customWidth="1"/>
    <col min="15875" max="15875" width="20.3818181818182" style="3" customWidth="1"/>
    <col min="15876" max="15876" width="13.7454545454545" style="3" customWidth="1"/>
    <col min="15877" max="15877" width="13.5" style="3" customWidth="1"/>
    <col min="15878" max="15878" width="9.61818181818182" style="3" customWidth="1"/>
    <col min="15879" max="15880" width="12.2545454545455" style="3" customWidth="1"/>
    <col min="15881" max="15881" width="9.61818181818182" style="3" customWidth="1"/>
    <col min="15882" max="15883" width="10.2545454545455" style="3" customWidth="1"/>
    <col min="15884" max="15884" width="9.61818181818182" style="3" customWidth="1"/>
    <col min="15885" max="16128" width="9" style="3"/>
    <col min="16129" max="16129" width="4.87272727272727" style="3" customWidth="1"/>
    <col min="16130" max="16130" width="33.1272727272727" style="3" customWidth="1"/>
    <col min="16131" max="16131" width="20.3818181818182" style="3" customWidth="1"/>
    <col min="16132" max="16132" width="13.7454545454545" style="3" customWidth="1"/>
    <col min="16133" max="16133" width="13.5" style="3" customWidth="1"/>
    <col min="16134" max="16134" width="9.61818181818182" style="3" customWidth="1"/>
    <col min="16135" max="16136" width="12.2545454545455" style="3" customWidth="1"/>
    <col min="16137" max="16137" width="9.61818181818182" style="3" customWidth="1"/>
    <col min="16138" max="16139" width="10.2545454545455" style="3" customWidth="1"/>
    <col min="16140" max="16140" width="9.61818181818182" style="3" customWidth="1"/>
    <col min="16141" max="16384" width="9" style="3"/>
  </cols>
  <sheetData>
    <row r="1" ht="17.5" spans="1:13">
      <c r="A1" s="5"/>
    </row>
    <row r="2" ht="23" spans="1:1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="1" customFormat="1" spans="1:13">
      <c r="A3" s="7"/>
      <c r="D3" s="8"/>
      <c r="E3" s="8"/>
      <c r="G3" s="8"/>
      <c r="H3" s="8"/>
      <c r="J3" s="8"/>
      <c r="K3" s="8"/>
    </row>
    <row r="4" ht="15.6" customHeight="1" spans="1:13">
      <c r="A4" s="9" t="s">
        <v>1</v>
      </c>
      <c r="B4" s="10" t="s">
        <v>2</v>
      </c>
      <c r="C4" s="10" t="s">
        <v>3</v>
      </c>
      <c r="D4" s="11" t="s">
        <v>4</v>
      </c>
      <c r="E4" s="12"/>
      <c r="F4" s="13"/>
      <c r="G4" s="11" t="s">
        <v>5</v>
      </c>
      <c r="H4" s="12"/>
      <c r="I4" s="13"/>
      <c r="J4" s="11" t="s">
        <v>6</v>
      </c>
      <c r="K4" s="12"/>
      <c r="L4" s="13"/>
    </row>
    <row r="5" ht="36" customHeight="1" spans="1:13">
      <c r="A5" s="9"/>
      <c r="B5" s="10"/>
      <c r="C5" s="10"/>
      <c r="D5" s="14" t="s">
        <v>7</v>
      </c>
      <c r="E5" s="14" t="s">
        <v>8</v>
      </c>
      <c r="F5" s="15" t="s">
        <v>9</v>
      </c>
      <c r="G5" s="14" t="s">
        <v>7</v>
      </c>
      <c r="H5" s="14" t="s">
        <v>8</v>
      </c>
      <c r="I5" s="15" t="s">
        <v>9</v>
      </c>
      <c r="J5" s="14" t="s">
        <v>7</v>
      </c>
      <c r="K5" s="14" t="s">
        <v>8</v>
      </c>
      <c r="L5" s="15" t="s">
        <v>9</v>
      </c>
    </row>
    <row r="6" ht="27" customHeight="1" spans="1:13">
      <c r="A6" s="16">
        <v>1</v>
      </c>
      <c r="B6" s="17" t="s">
        <v>10</v>
      </c>
      <c r="C6" s="17" t="s">
        <v>11</v>
      </c>
      <c r="D6" s="18">
        <v>355498</v>
      </c>
      <c r="E6" s="18">
        <v>271874</v>
      </c>
      <c r="F6" s="19">
        <f t="shared" ref="F6:F14" si="0">D6/E6-1</f>
        <v>0.30758366007783</v>
      </c>
      <c r="G6" s="20">
        <v>97641</v>
      </c>
      <c r="H6" s="20">
        <v>68480</v>
      </c>
      <c r="I6" s="19">
        <f t="shared" ref="I6:I14" si="1">G6/H6-1</f>
        <v>0.425832359813084</v>
      </c>
      <c r="J6" s="18">
        <v>1637</v>
      </c>
      <c r="K6" s="18">
        <v>4721</v>
      </c>
      <c r="L6" s="19">
        <f t="shared" ref="L6:L14" si="2">J6/K6-1</f>
        <v>-0.653251429781826</v>
      </c>
    </row>
    <row r="7" ht="27" customHeight="1" spans="1:13">
      <c r="A7" s="16">
        <v>2</v>
      </c>
      <c r="B7" s="17" t="s">
        <v>12</v>
      </c>
      <c r="C7" s="17" t="s">
        <v>11</v>
      </c>
      <c r="D7" s="18">
        <v>265127</v>
      </c>
      <c r="E7" s="18">
        <v>108991</v>
      </c>
      <c r="F7" s="19">
        <f t="shared" si="0"/>
        <v>1.43255865163179</v>
      </c>
      <c r="G7" s="20">
        <v>53574</v>
      </c>
      <c r="H7" s="20">
        <v>22419</v>
      </c>
      <c r="I7" s="19">
        <f t="shared" si="1"/>
        <v>1.38966947678309</v>
      </c>
      <c r="J7" s="18">
        <v>5658</v>
      </c>
      <c r="K7" s="18">
        <v>2239</v>
      </c>
      <c r="L7" s="19">
        <f t="shared" si="2"/>
        <v>1.52702099151407</v>
      </c>
    </row>
    <row r="8" ht="27" customHeight="1" spans="1:13">
      <c r="A8" s="16">
        <v>3</v>
      </c>
      <c r="B8" s="17" t="s">
        <v>13</v>
      </c>
      <c r="C8" s="17" t="s">
        <v>11</v>
      </c>
      <c r="D8" s="18">
        <v>256079</v>
      </c>
      <c r="E8" s="18">
        <v>236862</v>
      </c>
      <c r="F8" s="19">
        <f t="shared" si="0"/>
        <v>0.0811316293875759</v>
      </c>
      <c r="G8" s="20">
        <v>43826</v>
      </c>
      <c r="H8" s="20">
        <v>13563</v>
      </c>
      <c r="I8" s="19">
        <f t="shared" si="1"/>
        <v>2.23129101231291</v>
      </c>
      <c r="J8" s="18">
        <v>577</v>
      </c>
      <c r="K8" s="18">
        <v>2831</v>
      </c>
      <c r="L8" s="19">
        <f t="shared" si="2"/>
        <v>-0.796185093606499</v>
      </c>
    </row>
    <row r="9" ht="27" customHeight="1" spans="1:13">
      <c r="A9" s="16">
        <v>4</v>
      </c>
      <c r="B9" s="17" t="s">
        <v>14</v>
      </c>
      <c r="C9" s="17" t="s">
        <v>11</v>
      </c>
      <c r="D9" s="18">
        <v>69152</v>
      </c>
      <c r="E9" s="18">
        <v>71558</v>
      </c>
      <c r="F9" s="19">
        <f t="shared" si="0"/>
        <v>-0.0336230749881216</v>
      </c>
      <c r="G9" s="20">
        <v>18204</v>
      </c>
      <c r="H9" s="20">
        <v>23341</v>
      </c>
      <c r="I9" s="19">
        <f t="shared" si="1"/>
        <v>-0.220084829270383</v>
      </c>
      <c r="J9" s="18"/>
      <c r="K9" s="18">
        <v>5.5</v>
      </c>
      <c r="L9" s="19">
        <f t="shared" si="2"/>
        <v>-1</v>
      </c>
    </row>
    <row r="10" ht="27" customHeight="1" spans="1:13">
      <c r="A10" s="16">
        <v>5</v>
      </c>
      <c r="B10" s="17" t="s">
        <v>15</v>
      </c>
      <c r="C10" s="17" t="s">
        <v>11</v>
      </c>
      <c r="D10" s="18">
        <v>258130</v>
      </c>
      <c r="E10" s="18">
        <v>290071</v>
      </c>
      <c r="F10" s="19">
        <f t="shared" si="0"/>
        <v>-0.110114420262625</v>
      </c>
      <c r="G10" s="20">
        <v>82513</v>
      </c>
      <c r="H10" s="20">
        <v>95993</v>
      </c>
      <c r="I10" s="19">
        <f t="shared" si="1"/>
        <v>-0.140426906128572</v>
      </c>
      <c r="J10" s="18"/>
      <c r="K10" s="18">
        <v>85.7</v>
      </c>
      <c r="L10" s="19">
        <f t="shared" si="2"/>
        <v>-1</v>
      </c>
    </row>
    <row r="11" ht="27" customHeight="1" spans="1:13">
      <c r="A11" s="16">
        <v>6</v>
      </c>
      <c r="B11" s="17" t="s">
        <v>16</v>
      </c>
      <c r="C11" s="17" t="s">
        <v>11</v>
      </c>
      <c r="D11" s="18"/>
      <c r="E11" s="18"/>
      <c r="F11" s="19"/>
      <c r="G11" s="20"/>
      <c r="H11" s="20"/>
      <c r="I11" s="19"/>
      <c r="J11" s="18"/>
      <c r="K11" s="18"/>
      <c r="L11" s="19"/>
    </row>
    <row r="12" ht="27" customHeight="1" spans="1:13">
      <c r="A12" s="16">
        <v>7</v>
      </c>
      <c r="B12" s="17" t="s">
        <v>17</v>
      </c>
      <c r="C12" s="17" t="s">
        <v>11</v>
      </c>
      <c r="D12" s="18">
        <v>11153</v>
      </c>
      <c r="E12" s="18">
        <v>13223</v>
      </c>
      <c r="F12" s="19">
        <f t="shared" si="0"/>
        <v>-0.156545413295016</v>
      </c>
      <c r="G12" s="20">
        <v>3640</v>
      </c>
      <c r="H12" s="20">
        <v>3236</v>
      </c>
      <c r="I12" s="19">
        <f t="shared" si="1"/>
        <v>0.124845488257108</v>
      </c>
      <c r="J12" s="18">
        <v>102</v>
      </c>
      <c r="K12" s="18">
        <v>1356</v>
      </c>
      <c r="L12" s="19">
        <f t="shared" si="2"/>
        <v>-0.924778761061947</v>
      </c>
    </row>
    <row r="13" ht="27" customHeight="1" spans="1:13">
      <c r="A13" s="16">
        <v>8</v>
      </c>
      <c r="B13" s="17" t="s">
        <v>18</v>
      </c>
      <c r="C13" s="17" t="s">
        <v>11</v>
      </c>
      <c r="D13" s="18">
        <v>4622</v>
      </c>
      <c r="E13" s="18">
        <v>3890</v>
      </c>
      <c r="F13" s="19">
        <v>0.188174807197943</v>
      </c>
      <c r="G13" s="20">
        <v>1440</v>
      </c>
      <c r="H13" s="20">
        <v>1267</v>
      </c>
      <c r="I13" s="19">
        <v>0.136543014996054</v>
      </c>
      <c r="J13" s="18">
        <v>4</v>
      </c>
      <c r="K13" s="18">
        <v>14</v>
      </c>
      <c r="L13" s="19">
        <v>-0.714285714285714</v>
      </c>
      <c r="M13" s="21" t="s">
        <v>19</v>
      </c>
    </row>
    <row r="14" ht="27" customHeight="1" spans="1:13">
      <c r="A14" s="9" t="s">
        <v>20</v>
      </c>
      <c r="B14" s="10" t="s">
        <v>21</v>
      </c>
      <c r="C14" s="10" t="s">
        <v>11</v>
      </c>
      <c r="D14" s="22">
        <f>SUM(D6:D13)</f>
        <v>1219761</v>
      </c>
      <c r="E14" s="22">
        <f>SUM(E6:E13)</f>
        <v>996469</v>
      </c>
      <c r="F14" s="23">
        <f t="shared" si="0"/>
        <v>0.224083237913071</v>
      </c>
      <c r="G14" s="24">
        <f>SUM(G6:G13)</f>
        <v>300838</v>
      </c>
      <c r="H14" s="24">
        <f>SUM(H6:H13)</f>
        <v>228299</v>
      </c>
      <c r="I14" s="23">
        <f t="shared" si="1"/>
        <v>0.317736827581373</v>
      </c>
      <c r="J14" s="22">
        <f>SUM(J6:J13)</f>
        <v>7978</v>
      </c>
      <c r="K14" s="22">
        <f>SUM(K6:K13)</f>
        <v>11252.2</v>
      </c>
      <c r="L14" s="23">
        <f t="shared" si="2"/>
        <v>-0.29098309663888</v>
      </c>
    </row>
    <row r="15" ht="27" customHeight="1" spans="1:13">
      <c r="A15" s="9"/>
      <c r="B15" s="10" t="s">
        <v>21</v>
      </c>
      <c r="C15" s="10" t="s">
        <v>22</v>
      </c>
      <c r="D15" s="22">
        <v>52750.919293</v>
      </c>
      <c r="E15" s="22">
        <v>65755.99</v>
      </c>
      <c r="F15" s="23">
        <v>-0.197777734119736</v>
      </c>
      <c r="G15" s="24">
        <v>25382.768604</v>
      </c>
      <c r="H15" s="24">
        <v>35182.119638</v>
      </c>
      <c r="I15" s="23">
        <v>-0.275689785999243</v>
      </c>
      <c r="J15" s="22">
        <v>5971.417486</v>
      </c>
      <c r="K15" s="22">
        <v>2253.703</v>
      </c>
      <c r="L15" s="23">
        <v>1.64960266991702</v>
      </c>
    </row>
    <row r="16" ht="27" customHeight="1" spans="1:13">
      <c r="A16" s="9" t="s">
        <v>20</v>
      </c>
      <c r="B16" s="10" t="s">
        <v>23</v>
      </c>
      <c r="C16" s="10" t="s">
        <v>20</v>
      </c>
      <c r="D16" s="22">
        <f>D14+D15</f>
        <v>1272511.919293</v>
      </c>
      <c r="E16" s="22">
        <f>E14+E15</f>
        <v>1062224.99</v>
      </c>
      <c r="F16" s="10"/>
      <c r="G16" s="24">
        <f>G14+G15</f>
        <v>326220.768604</v>
      </c>
      <c r="H16" s="24">
        <f>H14+H15</f>
        <v>263481.119638</v>
      </c>
      <c r="I16" s="10"/>
      <c r="J16" s="22">
        <f>J14+J15</f>
        <v>13949.417486</v>
      </c>
      <c r="K16" s="22">
        <f>K14+K15</f>
        <v>13505.903</v>
      </c>
      <c r="L16" s="10"/>
    </row>
  </sheetData>
  <mergeCells count="7">
    <mergeCell ref="A2:L2"/>
    <mergeCell ref="D4:F4"/>
    <mergeCell ref="G4:I4"/>
    <mergeCell ref="J4:L4"/>
    <mergeCell ref="A4:A5"/>
    <mergeCell ref="B4:B5"/>
    <mergeCell ref="C4:C5"/>
  </mergeCells>
  <dataValidations count="1">
    <dataValidation type="list" allowBlank="1" showInputMessage="1" showErrorMessage="1" sqref="C3:C15 C17:C65536 C65539:C65551 C65553:C131072 C131075:C131087 C131089:C196608 C196611:C196623 C196625:C262144 C262147:C262159 C262161:C327680 C327683:C327695 C327697:C393216 C393219:C393231 C393233:C458752 C458755:C458767 C458769:C524288 C524291:C524303 C524305:C589824 C589827:C589839 C589841:C655360 C655363:C655375 C655377:C720896 C720899:C720911 C720913:C786432 C786435:C786447 C786449:C851968 C851971:C851983 C851985:C917504 C917507:C917519 C917521:C983040 C983043:C983055 C983057:C1048576 IY3:IY15 IY17:IY65536 IY65539:IY65551 IY65553:IY131072 IY131075:IY131087 IY131089:IY196608 IY196611:IY196623 IY196625:IY262144 IY262147:IY262159 IY262161:IY327680 IY327683:IY327695 IY327697:IY393216 IY393219:IY393231 IY393233:IY458752 IY458755:IY458767 IY458769:IY524288 IY524291:IY524303 IY524305:IY589824 IY589827:IY589839 IY589841:IY655360 IY655363:IY655375 IY655377:IY720896 IY720899:IY720911 IY720913:IY786432 IY786435:IY786447 IY786449:IY851968 IY851971:IY851983 IY851985:IY917504 IY917507:IY917519 IY917521:IY983040 IY983043:IY983055 IY983057:IY1048576 SU3:SU15 SU17:SU65536 SU65539:SU65551 SU65553:SU131072 SU131075:SU131087 SU131089:SU196608 SU196611:SU196623 SU196625:SU262144 SU262147:SU262159 SU262161:SU327680 SU327683:SU327695 SU327697:SU393216 SU393219:SU393231 SU393233:SU458752 SU458755:SU458767 SU458769:SU524288 SU524291:SU524303 SU524305:SU589824 SU589827:SU589839 SU589841:SU655360 SU655363:SU655375 SU655377:SU720896 SU720899:SU720911 SU720913:SU786432 SU786435:SU786447 SU786449:SU851968 SU851971:SU851983 SU851985:SU917504 SU917507:SU917519 SU917521:SU983040 SU983043:SU983055 SU983057:SU1048576 ACQ3:ACQ15 ACQ17:ACQ65536 ACQ65539:ACQ65551 ACQ65553:ACQ131072 ACQ131075:ACQ131087 ACQ131089:ACQ196608 ACQ196611:ACQ196623 ACQ196625:ACQ262144 ACQ262147:ACQ262159 ACQ262161:ACQ327680 ACQ327683:ACQ327695 ACQ327697:ACQ393216 ACQ393219:ACQ393231 ACQ393233:ACQ458752 ACQ458755:ACQ458767 ACQ458769:ACQ524288 ACQ524291:ACQ524303 ACQ524305:ACQ589824 ACQ589827:ACQ589839 ACQ589841:ACQ655360 ACQ655363:ACQ655375 ACQ655377:ACQ720896 ACQ720899:ACQ720911 ACQ720913:ACQ786432 ACQ786435:ACQ786447 ACQ786449:ACQ851968 ACQ851971:ACQ851983 ACQ851985:ACQ917504 ACQ917507:ACQ917519 ACQ917521:ACQ983040 ACQ983043:ACQ983055 ACQ983057:ACQ1048576 AMM3:AMM15 AMM17:AMM65536 AMM65539:AMM65551 AMM65553:AMM131072 AMM131075:AMM131087 AMM131089:AMM196608 AMM196611:AMM196623 AMM196625:AMM262144 AMM262147:AMM262159 AMM262161:AMM327680 AMM327683:AMM327695 AMM327697:AMM393216 AMM393219:AMM393231 AMM393233:AMM458752 AMM458755:AMM458767 AMM458769:AMM524288 AMM524291:AMM524303 AMM524305:AMM589824 AMM589827:AMM589839 AMM589841:AMM655360 AMM655363:AMM655375 AMM655377:AMM720896 AMM720899:AMM720911 AMM720913:AMM786432 AMM786435:AMM786447 AMM786449:AMM851968 AMM851971:AMM851983 AMM851985:AMM917504 AMM917507:AMM917519 AMM917521:AMM983040 AMM983043:AMM983055 AMM983057:AMM1048576 AWI3:AWI15 AWI17:AWI65536 AWI65539:AWI65551 AWI65553:AWI131072 AWI131075:AWI131087 AWI131089:AWI196608 AWI196611:AWI196623 AWI196625:AWI262144 AWI262147:AWI262159 AWI262161:AWI327680 AWI327683:AWI327695 AWI327697:AWI393216 AWI393219:AWI393231 AWI393233:AWI458752 AWI458755:AWI458767 AWI458769:AWI524288 AWI524291:AWI524303 AWI524305:AWI589824 AWI589827:AWI589839 AWI589841:AWI655360 AWI655363:AWI655375 AWI655377:AWI720896 AWI720899:AWI720911 AWI720913:AWI786432 AWI786435:AWI786447 AWI786449:AWI851968 AWI851971:AWI851983 AWI851985:AWI917504 AWI917507:AWI917519 AWI917521:AWI983040 AWI983043:AWI983055 AWI983057:AWI1048576 BGE3:BGE15 BGE17:BGE65536 BGE65539:BGE65551 BGE65553:BGE131072 BGE131075:BGE131087 BGE131089:BGE196608 BGE196611:BGE196623 BGE196625:BGE262144 BGE262147:BGE262159 BGE262161:BGE327680 BGE327683:BGE327695 BGE327697:BGE393216 BGE393219:BGE393231 BGE393233:BGE458752 BGE458755:BGE458767 BGE458769:BGE524288 BGE524291:BGE524303 BGE524305:BGE589824 BGE589827:BGE589839 BGE589841:BGE655360 BGE655363:BGE655375 BGE655377:BGE720896 BGE720899:BGE720911 BGE720913:BGE786432 BGE786435:BGE786447 BGE786449:BGE851968 BGE851971:BGE851983 BGE851985:BGE917504 BGE917507:BGE917519 BGE917521:BGE983040 BGE983043:BGE983055 BGE983057:BGE1048576 BQA3:BQA15 BQA17:BQA65536 BQA65539:BQA65551 BQA65553:BQA131072 BQA131075:BQA131087 BQA131089:BQA196608 BQA196611:BQA196623 BQA196625:BQA262144 BQA262147:BQA262159 BQA262161:BQA327680 BQA327683:BQA327695 BQA327697:BQA393216 BQA393219:BQA393231 BQA393233:BQA458752 BQA458755:BQA458767 BQA458769:BQA524288 BQA524291:BQA524303 BQA524305:BQA589824 BQA589827:BQA589839 BQA589841:BQA655360 BQA655363:BQA655375 BQA655377:BQA720896 BQA720899:BQA720911 BQA720913:BQA786432 BQA786435:BQA786447 BQA786449:BQA851968 BQA851971:BQA851983 BQA851985:BQA917504 BQA917507:BQA917519 BQA917521:BQA983040 BQA983043:BQA983055 BQA983057:BQA1048576 BZW3:BZW15 BZW17:BZW65536 BZW65539:BZW65551 BZW65553:BZW131072 BZW131075:BZW131087 BZW131089:BZW196608 BZW196611:BZW196623 BZW196625:BZW262144 BZW262147:BZW262159 BZW262161:BZW327680 BZW327683:BZW327695 BZW327697:BZW393216 BZW393219:BZW393231 BZW393233:BZW458752 BZW458755:BZW458767 BZW458769:BZW524288 BZW524291:BZW524303 BZW524305:BZW589824 BZW589827:BZW589839 BZW589841:BZW655360 BZW655363:BZW655375 BZW655377:BZW720896 BZW720899:BZW720911 BZW720913:BZW786432 BZW786435:BZW786447 BZW786449:BZW851968 BZW851971:BZW851983 BZW851985:BZW917504 BZW917507:BZW917519 BZW917521:BZW983040 BZW983043:BZW983055 BZW983057:BZW1048576 CJS3:CJS15 CJS17:CJS65536 CJS65539:CJS65551 CJS65553:CJS131072 CJS131075:CJS131087 CJS131089:CJS196608 CJS196611:CJS196623 CJS196625:CJS262144 CJS262147:CJS262159 CJS262161:CJS327680 CJS327683:CJS327695 CJS327697:CJS393216 CJS393219:CJS393231 CJS393233:CJS458752 CJS458755:CJS458767 CJS458769:CJS524288 CJS524291:CJS524303 CJS524305:CJS589824 CJS589827:CJS589839 CJS589841:CJS655360 CJS655363:CJS655375 CJS655377:CJS720896 CJS720899:CJS720911 CJS720913:CJS786432 CJS786435:CJS786447 CJS786449:CJS851968 CJS851971:CJS851983 CJS851985:CJS917504 CJS917507:CJS917519 CJS917521:CJS983040 CJS983043:CJS983055 CJS983057:CJS1048576 CTO3:CTO15 CTO17:CTO65536 CTO65539:CTO65551 CTO65553:CTO131072 CTO131075:CTO131087 CTO131089:CTO196608 CTO196611:CTO196623 CTO196625:CTO262144 CTO262147:CTO262159 CTO262161:CTO327680 CTO327683:CTO327695 CTO327697:CTO393216 CTO393219:CTO393231 CTO393233:CTO458752 CTO458755:CTO458767 CTO458769:CTO524288 CTO524291:CTO524303 CTO524305:CTO589824 CTO589827:CTO589839 CTO589841:CTO655360 CTO655363:CTO655375 CTO655377:CTO720896 CTO720899:CTO720911 CTO720913:CTO786432 CTO786435:CTO786447 CTO786449:CTO851968 CTO851971:CTO851983 CTO851985:CTO917504 CTO917507:CTO917519 CTO917521:CTO983040 CTO983043:CTO983055 CTO983057:CTO1048576 DDK3:DDK15 DDK17:DDK65536 DDK65539:DDK65551 DDK65553:DDK131072 DDK131075:DDK131087 DDK131089:DDK196608 DDK196611:DDK196623 DDK196625:DDK262144 DDK262147:DDK262159 DDK262161:DDK327680 DDK327683:DDK327695 DDK327697:DDK393216 DDK393219:DDK393231 DDK393233:DDK458752 DDK458755:DDK458767 DDK458769:DDK524288 DDK524291:DDK524303 DDK524305:DDK589824 DDK589827:DDK589839 DDK589841:DDK655360 DDK655363:DDK655375 DDK655377:DDK720896 DDK720899:DDK720911 DDK720913:DDK786432 DDK786435:DDK786447 DDK786449:DDK851968 DDK851971:DDK851983 DDK851985:DDK917504 DDK917507:DDK917519 DDK917521:DDK983040 DDK983043:DDK983055 DDK983057:DDK1048576 DNG3:DNG15 DNG17:DNG65536 DNG65539:DNG65551 DNG65553:DNG131072 DNG131075:DNG131087 DNG131089:DNG196608 DNG196611:DNG196623 DNG196625:DNG262144 DNG262147:DNG262159 DNG262161:DNG327680 DNG327683:DNG327695 DNG327697:DNG393216 DNG393219:DNG393231 DNG393233:DNG458752 DNG458755:DNG458767 DNG458769:DNG524288 DNG524291:DNG524303 DNG524305:DNG589824 DNG589827:DNG589839 DNG589841:DNG655360 DNG655363:DNG655375 DNG655377:DNG720896 DNG720899:DNG720911 DNG720913:DNG786432 DNG786435:DNG786447 DNG786449:DNG851968 DNG851971:DNG851983 DNG851985:DNG917504 DNG917507:DNG917519 DNG917521:DNG983040 DNG983043:DNG983055 DNG983057:DNG1048576 DXC3:DXC15 DXC17:DXC65536 DXC65539:DXC65551 DXC65553:DXC131072 DXC131075:DXC131087 DXC131089:DXC196608 DXC196611:DXC196623 DXC196625:DXC262144 DXC262147:DXC262159 DXC262161:DXC327680 DXC327683:DXC327695 DXC327697:DXC393216 DXC393219:DXC393231 DXC393233:DXC458752 DXC458755:DXC458767 DXC458769:DXC524288 DXC524291:DXC524303 DXC524305:DXC589824 DXC589827:DXC589839 DXC589841:DXC655360 DXC655363:DXC655375 DXC655377:DXC720896 DXC720899:DXC720911 DXC720913:DXC786432 DXC786435:DXC786447 DXC786449:DXC851968 DXC851971:DXC851983 DXC851985:DXC917504 DXC917507:DXC917519 DXC917521:DXC983040 DXC983043:DXC983055 DXC983057:DXC1048576 EGY3:EGY15 EGY17:EGY65536 EGY65539:EGY65551 EGY65553:EGY131072 EGY131075:EGY131087 EGY131089:EGY196608 EGY196611:EGY196623 EGY196625:EGY262144 EGY262147:EGY262159 EGY262161:EGY327680 EGY327683:EGY327695 EGY327697:EGY393216 EGY393219:EGY393231 EGY393233:EGY458752 EGY458755:EGY458767 EGY458769:EGY524288 EGY524291:EGY524303 EGY524305:EGY589824 EGY589827:EGY589839 EGY589841:EGY655360 EGY655363:EGY655375 EGY655377:EGY720896 EGY720899:EGY720911 EGY720913:EGY786432 EGY786435:EGY786447 EGY786449:EGY851968 EGY851971:EGY851983 EGY851985:EGY917504 EGY917507:EGY917519 EGY917521:EGY983040 EGY983043:EGY983055 EGY983057:EGY1048576 EQU3:EQU15 EQU17:EQU65536 EQU65539:EQU65551 EQU65553:EQU131072 EQU131075:EQU131087 EQU131089:EQU196608 EQU196611:EQU196623 EQU196625:EQU262144 EQU262147:EQU262159 EQU262161:EQU327680 EQU327683:EQU327695 EQU327697:EQU393216 EQU393219:EQU393231 EQU393233:EQU458752 EQU458755:EQU458767 EQU458769:EQU524288 EQU524291:EQU524303 EQU524305:EQU589824 EQU589827:EQU589839 EQU589841:EQU655360 EQU655363:EQU655375 EQU655377:EQU720896 EQU720899:EQU720911 EQU720913:EQU786432 EQU786435:EQU786447 EQU786449:EQU851968 EQU851971:EQU851983 EQU851985:EQU917504 EQU917507:EQU917519 EQU917521:EQU983040 EQU983043:EQU983055 EQU983057:EQU1048576 FAQ3:FAQ15 FAQ17:FAQ65536 FAQ65539:FAQ65551 FAQ65553:FAQ131072 FAQ131075:FAQ131087 FAQ131089:FAQ196608 FAQ196611:FAQ196623 FAQ196625:FAQ262144 FAQ262147:FAQ262159 FAQ262161:FAQ327680 FAQ327683:FAQ327695 FAQ327697:FAQ393216 FAQ393219:FAQ393231 FAQ393233:FAQ458752 FAQ458755:FAQ458767 FAQ458769:FAQ524288 FAQ524291:FAQ524303 FAQ524305:FAQ589824 FAQ589827:FAQ589839 FAQ589841:FAQ655360 FAQ655363:FAQ655375 FAQ655377:FAQ720896 FAQ720899:FAQ720911 FAQ720913:FAQ786432 FAQ786435:FAQ786447 FAQ786449:FAQ851968 FAQ851971:FAQ851983 FAQ851985:FAQ917504 FAQ917507:FAQ917519 FAQ917521:FAQ983040 FAQ983043:FAQ983055 FAQ983057:FAQ1048576 FKM3:FKM15 FKM17:FKM65536 FKM65539:FKM65551 FKM65553:FKM131072 FKM131075:FKM131087 FKM131089:FKM196608 FKM196611:FKM196623 FKM196625:FKM262144 FKM262147:FKM262159 FKM262161:FKM327680 FKM327683:FKM327695 FKM327697:FKM393216 FKM393219:FKM393231 FKM393233:FKM458752 FKM458755:FKM458767 FKM458769:FKM524288 FKM524291:FKM524303 FKM524305:FKM589824 FKM589827:FKM589839 FKM589841:FKM655360 FKM655363:FKM655375 FKM655377:FKM720896 FKM720899:FKM720911 FKM720913:FKM786432 FKM786435:FKM786447 FKM786449:FKM851968 FKM851971:FKM851983 FKM851985:FKM917504 FKM917507:FKM917519 FKM917521:FKM983040 FKM983043:FKM983055 FKM983057:FKM1048576 FUI3:FUI15 FUI17:FUI65536 FUI65539:FUI65551 FUI65553:FUI131072 FUI131075:FUI131087 FUI131089:FUI196608 FUI196611:FUI196623 FUI196625:FUI262144 FUI262147:FUI262159 FUI262161:FUI327680 FUI327683:FUI327695 FUI327697:FUI393216 FUI393219:FUI393231 FUI393233:FUI458752 FUI458755:FUI458767 FUI458769:FUI524288 FUI524291:FUI524303 FUI524305:FUI589824 FUI589827:FUI589839 FUI589841:FUI655360 FUI655363:FUI655375 FUI655377:FUI720896 FUI720899:FUI720911 FUI720913:FUI786432 FUI786435:FUI786447 FUI786449:FUI851968 FUI851971:FUI851983 FUI851985:FUI917504 FUI917507:FUI917519 FUI917521:FUI983040 FUI983043:FUI983055 FUI983057:FUI1048576 GEE3:GEE15 GEE17:GEE65536 GEE65539:GEE65551 GEE65553:GEE131072 GEE131075:GEE131087 GEE131089:GEE196608 GEE196611:GEE196623 GEE196625:GEE262144 GEE262147:GEE262159 GEE262161:GEE327680 GEE327683:GEE327695 GEE327697:GEE393216 GEE393219:GEE393231 GEE393233:GEE458752 GEE458755:GEE458767 GEE458769:GEE524288 GEE524291:GEE524303 GEE524305:GEE589824 GEE589827:GEE589839 GEE589841:GEE655360 GEE655363:GEE655375 GEE655377:GEE720896 GEE720899:GEE720911 GEE720913:GEE786432 GEE786435:GEE786447 GEE786449:GEE851968 GEE851971:GEE851983 GEE851985:GEE917504 GEE917507:GEE917519 GEE917521:GEE983040 GEE983043:GEE983055 GEE983057:GEE1048576 GOA3:GOA15 GOA17:GOA65536 GOA65539:GOA65551 GOA65553:GOA131072 GOA131075:GOA131087 GOA131089:GOA196608 GOA196611:GOA196623 GOA196625:GOA262144 GOA262147:GOA262159 GOA262161:GOA327680 GOA327683:GOA327695 GOA327697:GOA393216 GOA393219:GOA393231 GOA393233:GOA458752 GOA458755:GOA458767 GOA458769:GOA524288 GOA524291:GOA524303 GOA524305:GOA589824 GOA589827:GOA589839 GOA589841:GOA655360 GOA655363:GOA655375 GOA655377:GOA720896 GOA720899:GOA720911 GOA720913:GOA786432 GOA786435:GOA786447 GOA786449:GOA851968 GOA851971:GOA851983 GOA851985:GOA917504 GOA917507:GOA917519 GOA917521:GOA983040 GOA983043:GOA983055 GOA983057:GOA1048576 GXW3:GXW15 GXW17:GXW65536 GXW65539:GXW65551 GXW65553:GXW131072 GXW131075:GXW131087 GXW131089:GXW196608 GXW196611:GXW196623 GXW196625:GXW262144 GXW262147:GXW262159 GXW262161:GXW327680 GXW327683:GXW327695 GXW327697:GXW393216 GXW393219:GXW393231 GXW393233:GXW458752 GXW458755:GXW458767 GXW458769:GXW524288 GXW524291:GXW524303 GXW524305:GXW589824 GXW589827:GXW589839 GXW589841:GXW655360 GXW655363:GXW655375 GXW655377:GXW720896 GXW720899:GXW720911 GXW720913:GXW786432 GXW786435:GXW786447 GXW786449:GXW851968 GXW851971:GXW851983 GXW851985:GXW917504 GXW917507:GXW917519 GXW917521:GXW983040 GXW983043:GXW983055 GXW983057:GXW1048576 HHS3:HHS15 HHS17:HHS65536 HHS65539:HHS65551 HHS65553:HHS131072 HHS131075:HHS131087 HHS131089:HHS196608 HHS196611:HHS196623 HHS196625:HHS262144 HHS262147:HHS262159 HHS262161:HHS327680 HHS327683:HHS327695 HHS327697:HHS393216 HHS393219:HHS393231 HHS393233:HHS458752 HHS458755:HHS458767 HHS458769:HHS524288 HHS524291:HHS524303 HHS524305:HHS589824 HHS589827:HHS589839 HHS589841:HHS655360 HHS655363:HHS655375 HHS655377:HHS720896 HHS720899:HHS720911 HHS720913:HHS786432 HHS786435:HHS786447 HHS786449:HHS851968 HHS851971:HHS851983 HHS851985:HHS917504 HHS917507:HHS917519 HHS917521:HHS983040 HHS983043:HHS983055 HHS983057:HHS1048576 HRO3:HRO15 HRO17:HRO65536 HRO65539:HRO65551 HRO65553:HRO131072 HRO131075:HRO131087 HRO131089:HRO196608 HRO196611:HRO196623 HRO196625:HRO262144 HRO262147:HRO262159 HRO262161:HRO327680 HRO327683:HRO327695 HRO327697:HRO393216 HRO393219:HRO393231 HRO393233:HRO458752 HRO458755:HRO458767 HRO458769:HRO524288 HRO524291:HRO524303 HRO524305:HRO589824 HRO589827:HRO589839 HRO589841:HRO655360 HRO655363:HRO655375 HRO655377:HRO720896 HRO720899:HRO720911 HRO720913:HRO786432 HRO786435:HRO786447 HRO786449:HRO851968 HRO851971:HRO851983 HRO851985:HRO917504 HRO917507:HRO917519 HRO917521:HRO983040 HRO983043:HRO983055 HRO983057:HRO1048576 IBK3:IBK15 IBK17:IBK65536 IBK65539:IBK65551 IBK65553:IBK131072 IBK131075:IBK131087 IBK131089:IBK196608 IBK196611:IBK196623 IBK196625:IBK262144 IBK262147:IBK262159 IBK262161:IBK327680 IBK327683:IBK327695 IBK327697:IBK393216 IBK393219:IBK393231 IBK393233:IBK458752 IBK458755:IBK458767 IBK458769:IBK524288 IBK524291:IBK524303 IBK524305:IBK589824 IBK589827:IBK589839 IBK589841:IBK655360 IBK655363:IBK655375 IBK655377:IBK720896 IBK720899:IBK720911 IBK720913:IBK786432 IBK786435:IBK786447 IBK786449:IBK851968 IBK851971:IBK851983 IBK851985:IBK917504 IBK917507:IBK917519 IBK917521:IBK983040 IBK983043:IBK983055 IBK983057:IBK1048576 ILG3:ILG15 ILG17:ILG65536 ILG65539:ILG65551 ILG65553:ILG131072 ILG131075:ILG131087 ILG131089:ILG196608 ILG196611:ILG196623 ILG196625:ILG262144 ILG262147:ILG262159 ILG262161:ILG327680 ILG327683:ILG327695 ILG327697:ILG393216 ILG393219:ILG393231 ILG393233:ILG458752 ILG458755:ILG458767 ILG458769:ILG524288 ILG524291:ILG524303 ILG524305:ILG589824 ILG589827:ILG589839 ILG589841:ILG655360 ILG655363:ILG655375 ILG655377:ILG720896 ILG720899:ILG720911 ILG720913:ILG786432 ILG786435:ILG786447 ILG786449:ILG851968 ILG851971:ILG851983 ILG851985:ILG917504 ILG917507:ILG917519 ILG917521:ILG983040 ILG983043:ILG983055 ILG983057:ILG1048576 IVC3:IVC15 IVC17:IVC65536 IVC65539:IVC65551 IVC65553:IVC131072 IVC131075:IVC131087 IVC131089:IVC196608 IVC196611:IVC196623 IVC196625:IVC262144 IVC262147:IVC262159 IVC262161:IVC327680 IVC327683:IVC327695 IVC327697:IVC393216 IVC393219:IVC393231 IVC393233:IVC458752 IVC458755:IVC458767 IVC458769:IVC524288 IVC524291:IVC524303 IVC524305:IVC589824 IVC589827:IVC589839 IVC589841:IVC655360 IVC655363:IVC655375 IVC655377:IVC720896 IVC720899:IVC720911 IVC720913:IVC786432 IVC786435:IVC786447 IVC786449:IVC851968 IVC851971:IVC851983 IVC851985:IVC917504 IVC917507:IVC917519 IVC917521:IVC983040 IVC983043:IVC983055 IVC983057:IVC1048576 JEY3:JEY15 JEY17:JEY65536 JEY65539:JEY65551 JEY65553:JEY131072 JEY131075:JEY131087 JEY131089:JEY196608 JEY196611:JEY196623 JEY196625:JEY262144 JEY262147:JEY262159 JEY262161:JEY327680 JEY327683:JEY327695 JEY327697:JEY393216 JEY393219:JEY393231 JEY393233:JEY458752 JEY458755:JEY458767 JEY458769:JEY524288 JEY524291:JEY524303 JEY524305:JEY589824 JEY589827:JEY589839 JEY589841:JEY655360 JEY655363:JEY655375 JEY655377:JEY720896 JEY720899:JEY720911 JEY720913:JEY786432 JEY786435:JEY786447 JEY786449:JEY851968 JEY851971:JEY851983 JEY851985:JEY917504 JEY917507:JEY917519 JEY917521:JEY983040 JEY983043:JEY983055 JEY983057:JEY1048576 JOU3:JOU15 JOU17:JOU65536 JOU65539:JOU65551 JOU65553:JOU131072 JOU131075:JOU131087 JOU131089:JOU196608 JOU196611:JOU196623 JOU196625:JOU262144 JOU262147:JOU262159 JOU262161:JOU327680 JOU327683:JOU327695 JOU327697:JOU393216 JOU393219:JOU393231 JOU393233:JOU458752 JOU458755:JOU458767 JOU458769:JOU524288 JOU524291:JOU524303 JOU524305:JOU589824 JOU589827:JOU589839 JOU589841:JOU655360 JOU655363:JOU655375 JOU655377:JOU720896 JOU720899:JOU720911 JOU720913:JOU786432 JOU786435:JOU786447 JOU786449:JOU851968 JOU851971:JOU851983 JOU851985:JOU917504 JOU917507:JOU917519 JOU917521:JOU983040 JOU983043:JOU983055 JOU983057:JOU1048576 JYQ3:JYQ15 JYQ17:JYQ65536 JYQ65539:JYQ65551 JYQ65553:JYQ131072 JYQ131075:JYQ131087 JYQ131089:JYQ196608 JYQ196611:JYQ196623 JYQ196625:JYQ262144 JYQ262147:JYQ262159 JYQ262161:JYQ327680 JYQ327683:JYQ327695 JYQ327697:JYQ393216 JYQ393219:JYQ393231 JYQ393233:JYQ458752 JYQ458755:JYQ458767 JYQ458769:JYQ524288 JYQ524291:JYQ524303 JYQ524305:JYQ589824 JYQ589827:JYQ589839 JYQ589841:JYQ655360 JYQ655363:JYQ655375 JYQ655377:JYQ720896 JYQ720899:JYQ720911 JYQ720913:JYQ786432 JYQ786435:JYQ786447 JYQ786449:JYQ851968 JYQ851971:JYQ851983 JYQ851985:JYQ917504 JYQ917507:JYQ917519 JYQ917521:JYQ983040 JYQ983043:JYQ983055 JYQ983057:JYQ1048576 KIM3:KIM15 KIM17:KIM65536 KIM65539:KIM65551 KIM65553:KIM131072 KIM131075:KIM131087 KIM131089:KIM196608 KIM196611:KIM196623 KIM196625:KIM262144 KIM262147:KIM262159 KIM262161:KIM327680 KIM327683:KIM327695 KIM327697:KIM393216 KIM393219:KIM393231 KIM393233:KIM458752 KIM458755:KIM458767 KIM458769:KIM524288 KIM524291:KIM524303 KIM524305:KIM589824 KIM589827:KIM589839 KIM589841:KIM655360 KIM655363:KIM655375 KIM655377:KIM720896 KIM720899:KIM720911 KIM720913:KIM786432 KIM786435:KIM786447 KIM786449:KIM851968 KIM851971:KIM851983 KIM851985:KIM917504 KIM917507:KIM917519 KIM917521:KIM983040 KIM983043:KIM983055 KIM983057:KIM1048576 KSI3:KSI15 KSI17:KSI65536 KSI65539:KSI65551 KSI65553:KSI131072 KSI131075:KSI131087 KSI131089:KSI196608 KSI196611:KSI196623 KSI196625:KSI262144 KSI262147:KSI262159 KSI262161:KSI327680 KSI327683:KSI327695 KSI327697:KSI393216 KSI393219:KSI393231 KSI393233:KSI458752 KSI458755:KSI458767 KSI458769:KSI524288 KSI524291:KSI524303 KSI524305:KSI589824 KSI589827:KSI589839 KSI589841:KSI655360 KSI655363:KSI655375 KSI655377:KSI720896 KSI720899:KSI720911 KSI720913:KSI786432 KSI786435:KSI786447 KSI786449:KSI851968 KSI851971:KSI851983 KSI851985:KSI917504 KSI917507:KSI917519 KSI917521:KSI983040 KSI983043:KSI983055 KSI983057:KSI1048576 LCE3:LCE15 LCE17:LCE65536 LCE65539:LCE65551 LCE65553:LCE131072 LCE131075:LCE131087 LCE131089:LCE196608 LCE196611:LCE196623 LCE196625:LCE262144 LCE262147:LCE262159 LCE262161:LCE327680 LCE327683:LCE327695 LCE327697:LCE393216 LCE393219:LCE393231 LCE393233:LCE458752 LCE458755:LCE458767 LCE458769:LCE524288 LCE524291:LCE524303 LCE524305:LCE589824 LCE589827:LCE589839 LCE589841:LCE655360 LCE655363:LCE655375 LCE655377:LCE720896 LCE720899:LCE720911 LCE720913:LCE786432 LCE786435:LCE786447 LCE786449:LCE851968 LCE851971:LCE851983 LCE851985:LCE917504 LCE917507:LCE917519 LCE917521:LCE983040 LCE983043:LCE983055 LCE983057:LCE1048576 LMA3:LMA15 LMA17:LMA65536 LMA65539:LMA65551 LMA65553:LMA131072 LMA131075:LMA131087 LMA131089:LMA196608 LMA196611:LMA196623 LMA196625:LMA262144 LMA262147:LMA262159 LMA262161:LMA327680 LMA327683:LMA327695 LMA327697:LMA393216 LMA393219:LMA393231 LMA393233:LMA458752 LMA458755:LMA458767 LMA458769:LMA524288 LMA524291:LMA524303 LMA524305:LMA589824 LMA589827:LMA589839 LMA589841:LMA655360 LMA655363:LMA655375 LMA655377:LMA720896 LMA720899:LMA720911 LMA720913:LMA786432 LMA786435:LMA786447 LMA786449:LMA851968 LMA851971:LMA851983 LMA851985:LMA917504 LMA917507:LMA917519 LMA917521:LMA983040 LMA983043:LMA983055 LMA983057:LMA1048576 LVW3:LVW15 LVW17:LVW65536 LVW65539:LVW65551 LVW65553:LVW131072 LVW131075:LVW131087 LVW131089:LVW196608 LVW196611:LVW196623 LVW196625:LVW262144 LVW262147:LVW262159 LVW262161:LVW327680 LVW327683:LVW327695 LVW327697:LVW393216 LVW393219:LVW393231 LVW393233:LVW458752 LVW458755:LVW458767 LVW458769:LVW524288 LVW524291:LVW524303 LVW524305:LVW589824 LVW589827:LVW589839 LVW589841:LVW655360 LVW655363:LVW655375 LVW655377:LVW720896 LVW720899:LVW720911 LVW720913:LVW786432 LVW786435:LVW786447 LVW786449:LVW851968 LVW851971:LVW851983 LVW851985:LVW917504 LVW917507:LVW917519 LVW917521:LVW983040 LVW983043:LVW983055 LVW983057:LVW1048576 MFS3:MFS15 MFS17:MFS65536 MFS65539:MFS65551 MFS65553:MFS131072 MFS131075:MFS131087 MFS131089:MFS196608 MFS196611:MFS196623 MFS196625:MFS262144 MFS262147:MFS262159 MFS262161:MFS327680 MFS327683:MFS327695 MFS327697:MFS393216 MFS393219:MFS393231 MFS393233:MFS458752 MFS458755:MFS458767 MFS458769:MFS524288 MFS524291:MFS524303 MFS524305:MFS589824 MFS589827:MFS589839 MFS589841:MFS655360 MFS655363:MFS655375 MFS655377:MFS720896 MFS720899:MFS720911 MFS720913:MFS786432 MFS786435:MFS786447 MFS786449:MFS851968 MFS851971:MFS851983 MFS851985:MFS917504 MFS917507:MFS917519 MFS917521:MFS983040 MFS983043:MFS983055 MFS983057:MFS1048576 MPO3:MPO15 MPO17:MPO65536 MPO65539:MPO65551 MPO65553:MPO131072 MPO131075:MPO131087 MPO131089:MPO196608 MPO196611:MPO196623 MPO196625:MPO262144 MPO262147:MPO262159 MPO262161:MPO327680 MPO327683:MPO327695 MPO327697:MPO393216 MPO393219:MPO393231 MPO393233:MPO458752 MPO458755:MPO458767 MPO458769:MPO524288 MPO524291:MPO524303 MPO524305:MPO589824 MPO589827:MPO589839 MPO589841:MPO655360 MPO655363:MPO655375 MPO655377:MPO720896 MPO720899:MPO720911 MPO720913:MPO786432 MPO786435:MPO786447 MPO786449:MPO851968 MPO851971:MPO851983 MPO851985:MPO917504 MPO917507:MPO917519 MPO917521:MPO983040 MPO983043:MPO983055 MPO983057:MPO1048576 MZK3:MZK15 MZK17:MZK65536 MZK65539:MZK65551 MZK65553:MZK131072 MZK131075:MZK131087 MZK131089:MZK196608 MZK196611:MZK196623 MZK196625:MZK262144 MZK262147:MZK262159 MZK262161:MZK327680 MZK327683:MZK327695 MZK327697:MZK393216 MZK393219:MZK393231 MZK393233:MZK458752 MZK458755:MZK458767 MZK458769:MZK524288 MZK524291:MZK524303 MZK524305:MZK589824 MZK589827:MZK589839 MZK589841:MZK655360 MZK655363:MZK655375 MZK655377:MZK720896 MZK720899:MZK720911 MZK720913:MZK786432 MZK786435:MZK786447 MZK786449:MZK851968 MZK851971:MZK851983 MZK851985:MZK917504 MZK917507:MZK917519 MZK917521:MZK983040 MZK983043:MZK983055 MZK983057:MZK1048576 NJG3:NJG15 NJG17:NJG65536 NJG65539:NJG65551 NJG65553:NJG131072 NJG131075:NJG131087 NJG131089:NJG196608 NJG196611:NJG196623 NJG196625:NJG262144 NJG262147:NJG262159 NJG262161:NJG327680 NJG327683:NJG327695 NJG327697:NJG393216 NJG393219:NJG393231 NJG393233:NJG458752 NJG458755:NJG458767 NJG458769:NJG524288 NJG524291:NJG524303 NJG524305:NJG589824 NJG589827:NJG589839 NJG589841:NJG655360 NJG655363:NJG655375 NJG655377:NJG720896 NJG720899:NJG720911 NJG720913:NJG786432 NJG786435:NJG786447 NJG786449:NJG851968 NJG851971:NJG851983 NJG851985:NJG917504 NJG917507:NJG917519 NJG917521:NJG983040 NJG983043:NJG983055 NJG983057:NJG1048576 NTC3:NTC15 NTC17:NTC65536 NTC65539:NTC65551 NTC65553:NTC131072 NTC131075:NTC131087 NTC131089:NTC196608 NTC196611:NTC196623 NTC196625:NTC262144 NTC262147:NTC262159 NTC262161:NTC327680 NTC327683:NTC327695 NTC327697:NTC393216 NTC393219:NTC393231 NTC393233:NTC458752 NTC458755:NTC458767 NTC458769:NTC524288 NTC524291:NTC524303 NTC524305:NTC589824 NTC589827:NTC589839 NTC589841:NTC655360 NTC655363:NTC655375 NTC655377:NTC720896 NTC720899:NTC720911 NTC720913:NTC786432 NTC786435:NTC786447 NTC786449:NTC851968 NTC851971:NTC851983 NTC851985:NTC917504 NTC917507:NTC917519 NTC917521:NTC983040 NTC983043:NTC983055 NTC983057:NTC1048576 OCY3:OCY15 OCY17:OCY65536 OCY65539:OCY65551 OCY65553:OCY131072 OCY131075:OCY131087 OCY131089:OCY196608 OCY196611:OCY196623 OCY196625:OCY262144 OCY262147:OCY262159 OCY262161:OCY327680 OCY327683:OCY327695 OCY327697:OCY393216 OCY393219:OCY393231 OCY393233:OCY458752 OCY458755:OCY458767 OCY458769:OCY524288 OCY524291:OCY524303 OCY524305:OCY589824 OCY589827:OCY589839 OCY589841:OCY655360 OCY655363:OCY655375 OCY655377:OCY720896 OCY720899:OCY720911 OCY720913:OCY786432 OCY786435:OCY786447 OCY786449:OCY851968 OCY851971:OCY851983 OCY851985:OCY917504 OCY917507:OCY917519 OCY917521:OCY983040 OCY983043:OCY983055 OCY983057:OCY1048576 OMU3:OMU15 OMU17:OMU65536 OMU65539:OMU65551 OMU65553:OMU131072 OMU131075:OMU131087 OMU131089:OMU196608 OMU196611:OMU196623 OMU196625:OMU262144 OMU262147:OMU262159 OMU262161:OMU327680 OMU327683:OMU327695 OMU327697:OMU393216 OMU393219:OMU393231 OMU393233:OMU458752 OMU458755:OMU458767 OMU458769:OMU524288 OMU524291:OMU524303 OMU524305:OMU589824 OMU589827:OMU589839 OMU589841:OMU655360 OMU655363:OMU655375 OMU655377:OMU720896 OMU720899:OMU720911 OMU720913:OMU786432 OMU786435:OMU786447 OMU786449:OMU851968 OMU851971:OMU851983 OMU851985:OMU917504 OMU917507:OMU917519 OMU917521:OMU983040 OMU983043:OMU983055 OMU983057:OMU1048576 OWQ3:OWQ15 OWQ17:OWQ65536 OWQ65539:OWQ65551 OWQ65553:OWQ131072 OWQ131075:OWQ131087 OWQ131089:OWQ196608 OWQ196611:OWQ196623 OWQ196625:OWQ262144 OWQ262147:OWQ262159 OWQ262161:OWQ327680 OWQ327683:OWQ327695 OWQ327697:OWQ393216 OWQ393219:OWQ393231 OWQ393233:OWQ458752 OWQ458755:OWQ458767 OWQ458769:OWQ524288 OWQ524291:OWQ524303 OWQ524305:OWQ589824 OWQ589827:OWQ589839 OWQ589841:OWQ655360 OWQ655363:OWQ655375 OWQ655377:OWQ720896 OWQ720899:OWQ720911 OWQ720913:OWQ786432 OWQ786435:OWQ786447 OWQ786449:OWQ851968 OWQ851971:OWQ851983 OWQ851985:OWQ917504 OWQ917507:OWQ917519 OWQ917521:OWQ983040 OWQ983043:OWQ983055 OWQ983057:OWQ1048576 PGM3:PGM15 PGM17:PGM65536 PGM65539:PGM65551 PGM65553:PGM131072 PGM131075:PGM131087 PGM131089:PGM196608 PGM196611:PGM196623 PGM196625:PGM262144 PGM262147:PGM262159 PGM262161:PGM327680 PGM327683:PGM327695 PGM327697:PGM393216 PGM393219:PGM393231 PGM393233:PGM458752 PGM458755:PGM458767 PGM458769:PGM524288 PGM524291:PGM524303 PGM524305:PGM589824 PGM589827:PGM589839 PGM589841:PGM655360 PGM655363:PGM655375 PGM655377:PGM720896 PGM720899:PGM720911 PGM720913:PGM786432 PGM786435:PGM786447 PGM786449:PGM851968 PGM851971:PGM851983 PGM851985:PGM917504 PGM917507:PGM917519 PGM917521:PGM983040 PGM983043:PGM983055 PGM983057:PGM1048576 PQI3:PQI15 PQI17:PQI65536 PQI65539:PQI65551 PQI65553:PQI131072 PQI131075:PQI131087 PQI131089:PQI196608 PQI196611:PQI196623 PQI196625:PQI262144 PQI262147:PQI262159 PQI262161:PQI327680 PQI327683:PQI327695 PQI327697:PQI393216 PQI393219:PQI393231 PQI393233:PQI458752 PQI458755:PQI458767 PQI458769:PQI524288 PQI524291:PQI524303 PQI524305:PQI589824 PQI589827:PQI589839 PQI589841:PQI655360 PQI655363:PQI655375 PQI655377:PQI720896 PQI720899:PQI720911 PQI720913:PQI786432 PQI786435:PQI786447 PQI786449:PQI851968 PQI851971:PQI851983 PQI851985:PQI917504 PQI917507:PQI917519 PQI917521:PQI983040 PQI983043:PQI983055 PQI983057:PQI1048576 QAE3:QAE15 QAE17:QAE65536 QAE65539:QAE65551 QAE65553:QAE131072 QAE131075:QAE131087 QAE131089:QAE196608 QAE196611:QAE196623 QAE196625:QAE262144 QAE262147:QAE262159 QAE262161:QAE327680 QAE327683:QAE327695 QAE327697:QAE393216 QAE393219:QAE393231 QAE393233:QAE458752 QAE458755:QAE458767 QAE458769:QAE524288 QAE524291:QAE524303 QAE524305:QAE589824 QAE589827:QAE589839 QAE589841:QAE655360 QAE655363:QAE655375 QAE655377:QAE720896 QAE720899:QAE720911 QAE720913:QAE786432 QAE786435:QAE786447 QAE786449:QAE851968 QAE851971:QAE851983 QAE851985:QAE917504 QAE917507:QAE917519 QAE917521:QAE983040 QAE983043:QAE983055 QAE983057:QAE1048576 QKA3:QKA15 QKA17:QKA65536 QKA65539:QKA65551 QKA65553:QKA131072 QKA131075:QKA131087 QKA131089:QKA196608 QKA196611:QKA196623 QKA196625:QKA262144 QKA262147:QKA262159 QKA262161:QKA327680 QKA327683:QKA327695 QKA327697:QKA393216 QKA393219:QKA393231 QKA393233:QKA458752 QKA458755:QKA458767 QKA458769:QKA524288 QKA524291:QKA524303 QKA524305:QKA589824 QKA589827:QKA589839 QKA589841:QKA655360 QKA655363:QKA655375 QKA655377:QKA720896 QKA720899:QKA720911 QKA720913:QKA786432 QKA786435:QKA786447 QKA786449:QKA851968 QKA851971:QKA851983 QKA851985:QKA917504 QKA917507:QKA917519 QKA917521:QKA983040 QKA983043:QKA983055 QKA983057:QKA1048576 QTW3:QTW15 QTW17:QTW65536 QTW65539:QTW65551 QTW65553:QTW131072 QTW131075:QTW131087 QTW131089:QTW196608 QTW196611:QTW196623 QTW196625:QTW262144 QTW262147:QTW262159 QTW262161:QTW327680 QTW327683:QTW327695 QTW327697:QTW393216 QTW393219:QTW393231 QTW393233:QTW458752 QTW458755:QTW458767 QTW458769:QTW524288 QTW524291:QTW524303 QTW524305:QTW589824 QTW589827:QTW589839 QTW589841:QTW655360 QTW655363:QTW655375 QTW655377:QTW720896 QTW720899:QTW720911 QTW720913:QTW786432 QTW786435:QTW786447 QTW786449:QTW851968 QTW851971:QTW851983 QTW851985:QTW917504 QTW917507:QTW917519 QTW917521:QTW983040 QTW983043:QTW983055 QTW983057:QTW1048576 RDS3:RDS15 RDS17:RDS65536 RDS65539:RDS65551 RDS65553:RDS131072 RDS131075:RDS131087 RDS131089:RDS196608 RDS196611:RDS196623 RDS196625:RDS262144 RDS262147:RDS262159 RDS262161:RDS327680 RDS327683:RDS327695 RDS327697:RDS393216 RDS393219:RDS393231 RDS393233:RDS458752 RDS458755:RDS458767 RDS458769:RDS524288 RDS524291:RDS524303 RDS524305:RDS589824 RDS589827:RDS589839 RDS589841:RDS655360 RDS655363:RDS655375 RDS655377:RDS720896 RDS720899:RDS720911 RDS720913:RDS786432 RDS786435:RDS786447 RDS786449:RDS851968 RDS851971:RDS851983 RDS851985:RDS917504 RDS917507:RDS917519 RDS917521:RDS983040 RDS983043:RDS983055 RDS983057:RDS1048576 RNO3:RNO15 RNO17:RNO65536 RNO65539:RNO65551 RNO65553:RNO131072 RNO131075:RNO131087 RNO131089:RNO196608 RNO196611:RNO196623 RNO196625:RNO262144 RNO262147:RNO262159 RNO262161:RNO327680 RNO327683:RNO327695 RNO327697:RNO393216 RNO393219:RNO393231 RNO393233:RNO458752 RNO458755:RNO458767 RNO458769:RNO524288 RNO524291:RNO524303 RNO524305:RNO589824 RNO589827:RNO589839 RNO589841:RNO655360 RNO655363:RNO655375 RNO655377:RNO720896 RNO720899:RNO720911 RNO720913:RNO786432 RNO786435:RNO786447 RNO786449:RNO851968 RNO851971:RNO851983 RNO851985:RNO917504 RNO917507:RNO917519 RNO917521:RNO983040 RNO983043:RNO983055 RNO983057:RNO1048576 RXK3:RXK15 RXK17:RXK65536 RXK65539:RXK65551 RXK65553:RXK131072 RXK131075:RXK131087 RXK131089:RXK196608 RXK196611:RXK196623 RXK196625:RXK262144 RXK262147:RXK262159 RXK262161:RXK327680 RXK327683:RXK327695 RXK327697:RXK393216 RXK393219:RXK393231 RXK393233:RXK458752 RXK458755:RXK458767 RXK458769:RXK524288 RXK524291:RXK524303 RXK524305:RXK589824 RXK589827:RXK589839 RXK589841:RXK655360 RXK655363:RXK655375 RXK655377:RXK720896 RXK720899:RXK720911 RXK720913:RXK786432 RXK786435:RXK786447 RXK786449:RXK851968 RXK851971:RXK851983 RXK851985:RXK917504 RXK917507:RXK917519 RXK917521:RXK983040 RXK983043:RXK983055 RXK983057:RXK1048576 SHG3:SHG15 SHG17:SHG65536 SHG65539:SHG65551 SHG65553:SHG131072 SHG131075:SHG131087 SHG131089:SHG196608 SHG196611:SHG196623 SHG196625:SHG262144 SHG262147:SHG262159 SHG262161:SHG327680 SHG327683:SHG327695 SHG327697:SHG393216 SHG393219:SHG393231 SHG393233:SHG458752 SHG458755:SHG458767 SHG458769:SHG524288 SHG524291:SHG524303 SHG524305:SHG589824 SHG589827:SHG589839 SHG589841:SHG655360 SHG655363:SHG655375 SHG655377:SHG720896 SHG720899:SHG720911 SHG720913:SHG786432 SHG786435:SHG786447 SHG786449:SHG851968 SHG851971:SHG851983 SHG851985:SHG917504 SHG917507:SHG917519 SHG917521:SHG983040 SHG983043:SHG983055 SHG983057:SHG1048576 SRC3:SRC15 SRC17:SRC65536 SRC65539:SRC65551 SRC65553:SRC131072 SRC131075:SRC131087 SRC131089:SRC196608 SRC196611:SRC196623 SRC196625:SRC262144 SRC262147:SRC262159 SRC262161:SRC327680 SRC327683:SRC327695 SRC327697:SRC393216 SRC393219:SRC393231 SRC393233:SRC458752 SRC458755:SRC458767 SRC458769:SRC524288 SRC524291:SRC524303 SRC524305:SRC589824 SRC589827:SRC589839 SRC589841:SRC655360 SRC655363:SRC655375 SRC655377:SRC720896 SRC720899:SRC720911 SRC720913:SRC786432 SRC786435:SRC786447 SRC786449:SRC851968 SRC851971:SRC851983 SRC851985:SRC917504 SRC917507:SRC917519 SRC917521:SRC983040 SRC983043:SRC983055 SRC983057:SRC1048576 TAY3:TAY15 TAY17:TAY65536 TAY65539:TAY65551 TAY65553:TAY131072 TAY131075:TAY131087 TAY131089:TAY196608 TAY196611:TAY196623 TAY196625:TAY262144 TAY262147:TAY262159 TAY262161:TAY327680 TAY327683:TAY327695 TAY327697:TAY393216 TAY393219:TAY393231 TAY393233:TAY458752 TAY458755:TAY458767 TAY458769:TAY524288 TAY524291:TAY524303 TAY524305:TAY589824 TAY589827:TAY589839 TAY589841:TAY655360 TAY655363:TAY655375 TAY655377:TAY720896 TAY720899:TAY720911 TAY720913:TAY786432 TAY786435:TAY786447 TAY786449:TAY851968 TAY851971:TAY851983 TAY851985:TAY917504 TAY917507:TAY917519 TAY917521:TAY983040 TAY983043:TAY983055 TAY983057:TAY1048576 TKU3:TKU15 TKU17:TKU65536 TKU65539:TKU65551 TKU65553:TKU131072 TKU131075:TKU131087 TKU131089:TKU196608 TKU196611:TKU196623 TKU196625:TKU262144 TKU262147:TKU262159 TKU262161:TKU327680 TKU327683:TKU327695 TKU327697:TKU393216 TKU393219:TKU393231 TKU393233:TKU458752 TKU458755:TKU458767 TKU458769:TKU524288 TKU524291:TKU524303 TKU524305:TKU589824 TKU589827:TKU589839 TKU589841:TKU655360 TKU655363:TKU655375 TKU655377:TKU720896 TKU720899:TKU720911 TKU720913:TKU786432 TKU786435:TKU786447 TKU786449:TKU851968 TKU851971:TKU851983 TKU851985:TKU917504 TKU917507:TKU917519 TKU917521:TKU983040 TKU983043:TKU983055 TKU983057:TKU1048576 TUQ3:TUQ15 TUQ17:TUQ65536 TUQ65539:TUQ65551 TUQ65553:TUQ131072 TUQ131075:TUQ131087 TUQ131089:TUQ196608 TUQ196611:TUQ196623 TUQ196625:TUQ262144 TUQ262147:TUQ262159 TUQ262161:TUQ327680 TUQ327683:TUQ327695 TUQ327697:TUQ393216 TUQ393219:TUQ393231 TUQ393233:TUQ458752 TUQ458755:TUQ458767 TUQ458769:TUQ524288 TUQ524291:TUQ524303 TUQ524305:TUQ589824 TUQ589827:TUQ589839 TUQ589841:TUQ655360 TUQ655363:TUQ655375 TUQ655377:TUQ720896 TUQ720899:TUQ720911 TUQ720913:TUQ786432 TUQ786435:TUQ786447 TUQ786449:TUQ851968 TUQ851971:TUQ851983 TUQ851985:TUQ917504 TUQ917507:TUQ917519 TUQ917521:TUQ983040 TUQ983043:TUQ983055 TUQ983057:TUQ1048576 UEM3:UEM15 UEM17:UEM65536 UEM65539:UEM65551 UEM65553:UEM131072 UEM131075:UEM131087 UEM131089:UEM196608 UEM196611:UEM196623 UEM196625:UEM262144 UEM262147:UEM262159 UEM262161:UEM327680 UEM327683:UEM327695 UEM327697:UEM393216 UEM393219:UEM393231 UEM393233:UEM458752 UEM458755:UEM458767 UEM458769:UEM524288 UEM524291:UEM524303 UEM524305:UEM589824 UEM589827:UEM589839 UEM589841:UEM655360 UEM655363:UEM655375 UEM655377:UEM720896 UEM720899:UEM720911 UEM720913:UEM786432 UEM786435:UEM786447 UEM786449:UEM851968 UEM851971:UEM851983 UEM851985:UEM917504 UEM917507:UEM917519 UEM917521:UEM983040 UEM983043:UEM983055 UEM983057:UEM1048576 UOI3:UOI15 UOI17:UOI65536 UOI65539:UOI65551 UOI65553:UOI131072 UOI131075:UOI131087 UOI131089:UOI196608 UOI196611:UOI196623 UOI196625:UOI262144 UOI262147:UOI262159 UOI262161:UOI327680 UOI327683:UOI327695 UOI327697:UOI393216 UOI393219:UOI393231 UOI393233:UOI458752 UOI458755:UOI458767 UOI458769:UOI524288 UOI524291:UOI524303 UOI524305:UOI589824 UOI589827:UOI589839 UOI589841:UOI655360 UOI655363:UOI655375 UOI655377:UOI720896 UOI720899:UOI720911 UOI720913:UOI786432 UOI786435:UOI786447 UOI786449:UOI851968 UOI851971:UOI851983 UOI851985:UOI917504 UOI917507:UOI917519 UOI917521:UOI983040 UOI983043:UOI983055 UOI983057:UOI1048576 UYE3:UYE15 UYE17:UYE65536 UYE65539:UYE65551 UYE65553:UYE131072 UYE131075:UYE131087 UYE131089:UYE196608 UYE196611:UYE196623 UYE196625:UYE262144 UYE262147:UYE262159 UYE262161:UYE327680 UYE327683:UYE327695 UYE327697:UYE393216 UYE393219:UYE393231 UYE393233:UYE458752 UYE458755:UYE458767 UYE458769:UYE524288 UYE524291:UYE524303 UYE524305:UYE589824 UYE589827:UYE589839 UYE589841:UYE655360 UYE655363:UYE655375 UYE655377:UYE720896 UYE720899:UYE720911 UYE720913:UYE786432 UYE786435:UYE786447 UYE786449:UYE851968 UYE851971:UYE851983 UYE851985:UYE917504 UYE917507:UYE917519 UYE917521:UYE983040 UYE983043:UYE983055 UYE983057:UYE1048576 VIA3:VIA15 VIA17:VIA65536 VIA65539:VIA65551 VIA65553:VIA131072 VIA131075:VIA131087 VIA131089:VIA196608 VIA196611:VIA196623 VIA196625:VIA262144 VIA262147:VIA262159 VIA262161:VIA327680 VIA327683:VIA327695 VIA327697:VIA393216 VIA393219:VIA393231 VIA393233:VIA458752 VIA458755:VIA458767 VIA458769:VIA524288 VIA524291:VIA524303 VIA524305:VIA589824 VIA589827:VIA589839 VIA589841:VIA655360 VIA655363:VIA655375 VIA655377:VIA720896 VIA720899:VIA720911 VIA720913:VIA786432 VIA786435:VIA786447 VIA786449:VIA851968 VIA851971:VIA851983 VIA851985:VIA917504 VIA917507:VIA917519 VIA917521:VIA983040 VIA983043:VIA983055 VIA983057:VIA1048576 VRW3:VRW15 VRW17:VRW65536 VRW65539:VRW65551 VRW65553:VRW131072 VRW131075:VRW131087 VRW131089:VRW196608 VRW196611:VRW196623 VRW196625:VRW262144 VRW262147:VRW262159 VRW262161:VRW327680 VRW327683:VRW327695 VRW327697:VRW393216 VRW393219:VRW393231 VRW393233:VRW458752 VRW458755:VRW458767 VRW458769:VRW524288 VRW524291:VRW524303 VRW524305:VRW589824 VRW589827:VRW589839 VRW589841:VRW655360 VRW655363:VRW655375 VRW655377:VRW720896 VRW720899:VRW720911 VRW720913:VRW786432 VRW786435:VRW786447 VRW786449:VRW851968 VRW851971:VRW851983 VRW851985:VRW917504 VRW917507:VRW917519 VRW917521:VRW983040 VRW983043:VRW983055 VRW983057:VRW1048576 WBS3:WBS15 WBS17:WBS65536 WBS65539:WBS65551 WBS65553:WBS131072 WBS131075:WBS131087 WBS131089:WBS196608 WBS196611:WBS196623 WBS196625:WBS262144 WBS262147:WBS262159 WBS262161:WBS327680 WBS327683:WBS327695 WBS327697:WBS393216 WBS393219:WBS393231 WBS393233:WBS458752 WBS458755:WBS458767 WBS458769:WBS524288 WBS524291:WBS524303 WBS524305:WBS589824 WBS589827:WBS589839 WBS589841:WBS655360 WBS655363:WBS655375 WBS655377:WBS720896 WBS720899:WBS720911 WBS720913:WBS786432 WBS786435:WBS786447 WBS786449:WBS851968 WBS851971:WBS851983 WBS851985:WBS917504 WBS917507:WBS917519 WBS917521:WBS983040 WBS983043:WBS983055 WBS983057:WBS1048576 WLO3:WLO15 WLO17:WLO65536 WLO65539:WLO65551 WLO65553:WLO131072 WLO131075:WLO131087 WLO131089:WLO196608 WLO196611:WLO196623 WLO196625:WLO262144 WLO262147:WLO262159 WLO262161:WLO327680 WLO327683:WLO327695 WLO327697:WLO393216 WLO393219:WLO393231 WLO393233:WLO458752 WLO458755:WLO458767 WLO458769:WLO524288 WLO524291:WLO524303 WLO524305:WLO589824 WLO589827:WLO589839 WLO589841:WLO655360 WLO655363:WLO655375 WLO655377:WLO720896 WLO720899:WLO720911 WLO720913:WLO786432 WLO786435:WLO786447 WLO786449:WLO851968 WLO851971:WLO851983 WLO851985:WLO917504 WLO917507:WLO917519 WLO917521:WLO983040 WLO983043:WLO983055 WLO983057:WLO1048576 WVK3:WVK15 WVK17:WVK65536 WVK65539:WVK65551 WVK65553:WVK131072 WVK131075:WVK131087 WVK131089:WVK196608 WVK196611:WVK196623 WVK196625:WVK262144 WVK262147:WVK262159 WVK262161:WVK327680 WVK327683:WVK327695 WVK327697:WVK393216 WVK393219:WVK393231 WVK393233:WVK458752 WVK458755:WVK458767 WVK458769:WVK524288 WVK524291:WVK524303 WVK524305:WVK589824 WVK589827:WVK589839 WVK589841:WVK655360 WVK655363:WVK655375 WVK655377:WVK720896 WVK720899:WVK720911 WVK720913:WVK786432 WVK786435:WVK786447 WVK786449:WVK851968 WVK851971:WVK851983 WVK851985:WVK917504 WVK917507:WVK917519 WVK917521:WVK983040 WVK983043:WVK983055 WVK983057:WVK1048576">
      <formula1>"国有及国有控股企业,参股合资企业,其他（请在备注栏说明具体情况）"</formula1>
    </dataValidation>
  </dataValidations>
  <pageMargins left="0.393055555555556" right="0.393055555555556" top="0.393055555555556" bottom="0.393055555555556" header="0" footer="0"/>
  <pageSetup paperSize="9" scale="98" orientation="landscape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1季度预测工业增加值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Byron</cp:lastModifiedBy>
  <dcterms:created xsi:type="dcterms:W3CDTF">2006-09-16T00:00:00Z</dcterms:created>
  <cp:lastPrinted>2025-02-19T00:54:00Z</cp:lastPrinted>
  <dcterms:modified xsi:type="dcterms:W3CDTF">2025-11-24T06:13:31Z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44AB6ED748D349EFA1E18E0A0EDE01E7_13</vt:lpwstr>
  </property>
  <property fmtid="{D5CDD505-2E9C-101B-9397-08002B2CF9AE}" pid="3" name="KSOProductBuildVer">
    <vt:lpwstr>2052-12.1.0.23542</vt:lpwstr>
  </property>
</Properties>
</file>