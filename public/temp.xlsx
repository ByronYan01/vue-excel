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5"/>
  </bookViews>
  <sheets>
    <sheet name="2024年11" sheetId="2" r:id="rId1"/>
    <sheet name="2024年12" sheetId="3" r:id="rId2"/>
    <sheet name="特殊事项" sheetId="4" r:id="rId3"/>
    <sheet name="1季度预测工业增加值" sheetId="5" r:id="rId4"/>
    <sheet name="2024年上半年" sheetId="6" r:id="rId5"/>
    <sheet name="日期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5月实际比例</t>
        </r>
      </text>
    </comment>
  </commentList>
</comments>
</file>

<file path=xl/sharedStrings.xml><?xml version="1.0" encoding="utf-8"?>
<sst xmlns="http://schemas.openxmlformats.org/spreadsheetml/2006/main" count="150" uniqueCount="51">
  <si>
    <t>2124年11月累计合资企业经营指标明细表</t>
  </si>
  <si>
    <t>单 位 名 称</t>
  </si>
  <si>
    <t>本年累计</t>
  </si>
  <si>
    <t>上年同期</t>
  </si>
  <si>
    <t>增减变动(%)</t>
  </si>
  <si>
    <t>变动原因</t>
  </si>
  <si>
    <t>税金及附加</t>
  </si>
  <si>
    <t>应缴税费</t>
  </si>
  <si>
    <t>所得税</t>
  </si>
  <si>
    <t>日韩合资企业（8户）</t>
  </si>
  <si>
    <t>国有企业</t>
  </si>
  <si>
    <t>合资企业（11户）</t>
  </si>
  <si>
    <t>三星企业（6户）</t>
  </si>
  <si>
    <t>日资企业（2户）</t>
  </si>
  <si>
    <t>天津三星电机有限公司</t>
  </si>
  <si>
    <t>营收上涨原因：123456
利润上涨原因：123456</t>
  </si>
  <si>
    <t>三星高新电机（天津）有限公司</t>
  </si>
  <si>
    <t>天津三星视界移动有限公司</t>
  </si>
  <si>
    <t>天津三星视界有限公司</t>
  </si>
  <si>
    <t>三星（天津）电池有限公司</t>
  </si>
  <si>
    <t>三星爱商(天津)国际物流有限公司</t>
  </si>
  <si>
    <t>-</t>
  </si>
  <si>
    <t>天津雅马哈电子乐器有限公司</t>
  </si>
  <si>
    <t>天津费加罗电子有限公司</t>
  </si>
  <si>
    <t>光电通信技术（小光电）</t>
  </si>
  <si>
    <t>天津七六四通信导航技术有限公司</t>
  </si>
  <si>
    <t>2024年12月累计合资企业经营指标明细表</t>
  </si>
  <si>
    <t>合资企业（120户）</t>
  </si>
  <si>
    <t>费加罗产值更改</t>
  </si>
  <si>
    <t>一是去年统计稽查上门辅导了一次，二是领导觉得之前产值过高。但是之前报的月份数据没法修正，统计那边是年底能修改
去年应该是四月份按新方法计算的</t>
  </si>
  <si>
    <t>年底资产负债表会对往来科目做个重分类，平时没有。所有我们自己用的资产负债表期初数到年底12月报表期初数往来款会有点变化。
按照我们自己使用，1-11月期初资产总额是一个数，12月期初是另一个数。</t>
  </si>
  <si>
    <t>集团所属参股合资企业工业经济运行指标数据明细表</t>
  </si>
  <si>
    <t>序号</t>
  </si>
  <si>
    <t>企业名称</t>
  </si>
  <si>
    <t>工业总产值</t>
  </si>
  <si>
    <t>工业增加值</t>
  </si>
  <si>
    <t>固定资产投资额</t>
  </si>
  <si>
    <t>2024年
一季度</t>
  </si>
  <si>
    <t>2023年
一季度</t>
  </si>
  <si>
    <t>同比增速</t>
  </si>
  <si>
    <t>——</t>
  </si>
  <si>
    <t>小计</t>
  </si>
  <si>
    <t>合计</t>
  </si>
  <si>
    <t>224年上半年合资企业经营预测指标</t>
  </si>
  <si>
    <t>单位：万元</t>
  </si>
  <si>
    <t>营业收入</t>
  </si>
  <si>
    <t/>
  </si>
  <si>
    <t>利润总额</t>
  </si>
  <si>
    <t>产值</t>
  </si>
  <si>
    <t>国资2户</t>
  </si>
  <si>
    <t>合资企业（1户）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</si>
</sst>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yyyy/m/d;@"/>
    <numFmt numFmtId="178" formatCode="yyyy&quot;年&quot;m&quot;月&quot;d&quot;日&quot;;@"/>
    <numFmt numFmtId="179" formatCode="m&quot;月&quot;d&quot;日&quot;;@"/>
    <numFmt numFmtId="180" formatCode="h:mm;@"/>
    <numFmt numFmtId="181" formatCode="#0"/>
    <numFmt numFmtId="182" formatCode="_ * #,##0_ ;_ * \-#,##0_ ;_ * &quot;-&quot;??_ ;_ @_ "/>
    <numFmt numFmtId="183" formatCode="#,##0_);[Red]\(#,##0\)"/>
  </numFmts>
  <fonts count="4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8"/>
      <color indexed="8"/>
      <name val="宋体"/>
      <charset val="134"/>
    </font>
    <font>
      <b/>
      <sz val="10"/>
      <name val="宋体"/>
      <charset val="134"/>
    </font>
    <font>
      <b/>
      <sz val="14"/>
      <color indexed="8"/>
      <name val="宋体"/>
      <charset val="134"/>
    </font>
    <font>
      <sz val="14"/>
      <name val="Times New Roman"/>
      <charset val="134"/>
    </font>
    <font>
      <b/>
      <sz val="14"/>
      <name val="宋体"/>
      <charset val="134"/>
    </font>
    <font>
      <sz val="14"/>
      <color theme="1"/>
      <name val="Times New Roman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.5"/>
      <color theme="1"/>
      <name val="Calibri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8"/>
      <name val="宋体"/>
      <charset val="134"/>
    </font>
    <font>
      <sz val="8"/>
      <color rgb="FFFF0000"/>
      <name val="宋体"/>
      <charset val="134"/>
    </font>
    <font>
      <sz val="14"/>
      <color rgb="FFFF0000"/>
      <name val="Times New Roman"/>
      <charset val="134"/>
    </font>
    <font>
      <sz val="12"/>
      <color theme="1"/>
      <name val="宋体"/>
      <charset val="134"/>
    </font>
    <font>
      <sz val="14"/>
      <name val="仿宋_GB2312"/>
      <charset val="134"/>
    </font>
    <font>
      <sz val="12"/>
      <color theme="1"/>
      <name val="仿宋_GB2312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10" applyNumberFormat="0" applyAlignment="0" applyProtection="0">
      <alignment vertical="center"/>
    </xf>
    <xf numFmtId="0" fontId="34" fillId="7" borderId="11" applyNumberFormat="0" applyAlignment="0" applyProtection="0">
      <alignment vertical="center"/>
    </xf>
    <xf numFmtId="0" fontId="35" fillId="7" borderId="10" applyNumberFormat="0" applyAlignment="0" applyProtection="0">
      <alignment vertical="center"/>
    </xf>
    <xf numFmtId="0" fontId="36" fillId="8" borderId="12" applyNumberFormat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176" fontId="0" fillId="0" borderId="0"/>
    <xf numFmtId="176" fontId="0" fillId="0" borderId="0"/>
    <xf numFmtId="43" fontId="0" fillId="0" borderId="0" applyFont="0" applyFill="0" applyBorder="0" applyAlignment="0" applyProtection="0">
      <alignment vertical="center"/>
    </xf>
    <xf numFmtId="176" fontId="17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76" fontId="0" fillId="0" borderId="0" xfId="50" applyFill="1"/>
    <xf numFmtId="176" fontId="1" fillId="0" borderId="0" xfId="50" applyFont="1" applyFill="1"/>
    <xf numFmtId="176" fontId="2" fillId="0" borderId="0" xfId="50" applyFont="1" applyFill="1"/>
    <xf numFmtId="49" fontId="3" fillId="0" borderId="0" xfId="50" applyNumberFormat="1" applyFont="1" applyFill="1" applyBorder="1" applyAlignment="1">
      <alignment horizontal="center" vertical="center"/>
    </xf>
    <xf numFmtId="49" fontId="4" fillId="0" borderId="0" xfId="50" applyNumberFormat="1" applyFont="1" applyFill="1" applyBorder="1" applyAlignment="1">
      <alignment horizontal="right" vertical="center"/>
    </xf>
    <xf numFmtId="49" fontId="5" fillId="0" borderId="1" xfId="50" applyNumberFormat="1" applyFont="1" applyFill="1" applyBorder="1" applyAlignment="1">
      <alignment horizontal="center" vertical="center"/>
    </xf>
    <xf numFmtId="49" fontId="5" fillId="0" borderId="1" xfId="50" applyNumberFormat="1" applyFont="1" applyFill="1" applyBorder="1" applyAlignment="1">
      <alignment horizontal="center" vertical="center" wrapText="1"/>
    </xf>
    <xf numFmtId="181" fontId="5" fillId="0" borderId="1" xfId="50" applyNumberFormat="1" applyFont="1" applyFill="1" applyBorder="1" applyAlignment="1" applyProtection="1">
      <alignment horizontal="center" vertical="center" wrapText="1"/>
    </xf>
    <xf numFmtId="181" fontId="6" fillId="2" borderId="1" xfId="49" applyNumberFormat="1" applyFont="1" applyFill="1" applyBorder="1" applyAlignment="1" applyProtection="1">
      <alignment horizontal="center" vertical="center" wrapText="1"/>
    </xf>
    <xf numFmtId="10" fontId="6" fillId="0" borderId="1" xfId="50" applyNumberFormat="1" applyFont="1" applyFill="1" applyBorder="1" applyAlignment="1" applyProtection="1">
      <alignment horizontal="center" vertical="center" wrapText="1"/>
    </xf>
    <xf numFmtId="181" fontId="7" fillId="0" borderId="1" xfId="50" applyNumberFormat="1" applyFont="1" applyFill="1" applyBorder="1" applyAlignment="1" applyProtection="1">
      <alignment horizontal="center" vertical="center" wrapText="1"/>
    </xf>
    <xf numFmtId="181" fontId="8" fillId="2" borderId="1" xfId="49" applyNumberFormat="1" applyFont="1" applyFill="1" applyBorder="1" applyAlignment="1" applyProtection="1">
      <alignment horizontal="center" vertical="center" wrapText="1"/>
    </xf>
    <xf numFmtId="10" fontId="8" fillId="0" borderId="1" xfId="50" applyNumberFormat="1" applyFont="1" applyFill="1" applyBorder="1" applyAlignment="1" applyProtection="1">
      <alignment horizontal="center" vertical="center" wrapText="1"/>
    </xf>
    <xf numFmtId="1" fontId="7" fillId="0" borderId="1" xfId="50" applyNumberFormat="1" applyFont="1" applyFill="1" applyBorder="1" applyAlignment="1">
      <alignment horizontal="center" vertical="center"/>
    </xf>
    <xf numFmtId="176" fontId="9" fillId="0" borderId="1" xfId="50" applyFont="1" applyFill="1" applyBorder="1" applyAlignment="1" applyProtection="1">
      <alignment horizontal="center" vertical="center" wrapText="1"/>
    </xf>
    <xf numFmtId="181" fontId="6" fillId="0" borderId="1" xfId="0" applyNumberFormat="1" applyFont="1" applyFill="1" applyBorder="1" applyAlignment="1" applyProtection="1">
      <alignment horizontal="center" vertical="center" wrapText="1"/>
    </xf>
    <xf numFmtId="10" fontId="6" fillId="3" borderId="1" xfId="50" applyNumberFormat="1" applyFont="1" applyFill="1" applyBorder="1" applyAlignment="1" applyProtection="1">
      <alignment horizontal="center" vertical="center" wrapText="1"/>
    </xf>
    <xf numFmtId="176" fontId="1" fillId="0" borderId="0" xfId="50" applyFont="1" applyFill="1" applyAlignment="1">
      <alignment wrapText="1"/>
    </xf>
    <xf numFmtId="176" fontId="10" fillId="0" borderId="1" xfId="50" applyFont="1" applyFill="1" applyBorder="1" applyAlignment="1" applyProtection="1">
      <alignment horizontal="center" vertical="center" wrapText="1"/>
    </xf>
    <xf numFmtId="176" fontId="0" fillId="0" borderId="0" xfId="50" applyFont="1" applyFill="1" applyAlignment="1">
      <alignment horizontal="left" vertical="center" wrapText="1"/>
    </xf>
    <xf numFmtId="176" fontId="0" fillId="0" borderId="0" xfId="50" applyFill="1" applyAlignment="1">
      <alignment wrapText="1"/>
    </xf>
    <xf numFmtId="176" fontId="9" fillId="4" borderId="1" xfId="50" applyFont="1" applyFill="1" applyBorder="1" applyAlignment="1" applyProtection="1">
      <alignment horizontal="center" vertical="center" wrapText="1"/>
    </xf>
    <xf numFmtId="176" fontId="0" fillId="0" borderId="0" xfId="50" applyFill="1" applyBorder="1"/>
    <xf numFmtId="181" fontId="0" fillId="0" borderId="0" xfId="50" applyNumberFormat="1" applyFill="1" applyBorder="1"/>
    <xf numFmtId="10" fontId="11" fillId="0" borderId="0" xfId="50" applyNumberFormat="1" applyFont="1" applyFill="1" applyBorder="1" applyAlignment="1">
      <alignment horizontal="center" vertical="center"/>
    </xf>
    <xf numFmtId="176" fontId="12" fillId="0" borderId="0" xfId="50" applyFont="1" applyFill="1" applyBorder="1" applyAlignment="1">
      <alignment horizontal="center" vertical="center"/>
    </xf>
    <xf numFmtId="176" fontId="13" fillId="0" borderId="0" xfId="50" applyFont="1" applyFill="1" applyBorder="1" applyAlignment="1">
      <alignment horizontal="center" vertical="center" wrapText="1"/>
    </xf>
    <xf numFmtId="176" fontId="13" fillId="0" borderId="0" xfId="50" applyFont="1" applyFill="1" applyBorder="1" applyAlignment="1">
      <alignment horizontal="center" vertical="center"/>
    </xf>
    <xf numFmtId="176" fontId="14" fillId="0" borderId="0" xfId="50" applyFont="1" applyFill="1" applyBorder="1" applyAlignment="1">
      <alignment horizontal="justify" vertical="center" wrapText="1"/>
    </xf>
    <xf numFmtId="3" fontId="0" fillId="0" borderId="0" xfId="50" applyNumberFormat="1" applyFill="1" applyBorder="1"/>
    <xf numFmtId="3" fontId="0" fillId="0" borderId="0" xfId="50" applyNumberFormat="1" applyFill="1"/>
    <xf numFmtId="176" fontId="0" fillId="0" borderId="0" xfId="50" applyFont="1" applyFill="1"/>
    <xf numFmtId="176" fontId="15" fillId="0" borderId="0" xfId="52" applyFont="1" applyAlignment="1">
      <alignment horizontal="center" vertical="center"/>
    </xf>
    <xf numFmtId="176" fontId="16" fillId="0" borderId="0" xfId="52" applyNumberFormat="1" applyFont="1" applyAlignment="1">
      <alignment horizontal="center" vertical="center"/>
    </xf>
    <xf numFmtId="176" fontId="16" fillId="0" borderId="0" xfId="52" applyFont="1" applyAlignment="1">
      <alignment horizontal="center" vertical="center"/>
    </xf>
    <xf numFmtId="176" fontId="17" fillId="0" borderId="0" xfId="52" applyAlignment="1">
      <alignment horizontal="right" vertical="center"/>
    </xf>
    <xf numFmtId="176" fontId="16" fillId="0" borderId="1" xfId="52" applyNumberFormat="1" applyFont="1" applyBorder="1" applyAlignment="1">
      <alignment horizontal="center" vertical="center"/>
    </xf>
    <xf numFmtId="176" fontId="16" fillId="0" borderId="1" xfId="52" applyFont="1" applyBorder="1" applyAlignment="1">
      <alignment horizontal="center" vertical="center"/>
    </xf>
    <xf numFmtId="176" fontId="16" fillId="0" borderId="2" xfId="52" applyFont="1" applyBorder="1" applyAlignment="1">
      <alignment horizontal="center" vertical="center"/>
    </xf>
    <xf numFmtId="176" fontId="16" fillId="0" borderId="3" xfId="52" applyFont="1" applyBorder="1" applyAlignment="1">
      <alignment horizontal="center" vertical="center"/>
    </xf>
    <xf numFmtId="176" fontId="16" fillId="0" borderId="4" xfId="52" applyFont="1" applyBorder="1" applyAlignment="1">
      <alignment horizontal="center" vertical="center"/>
    </xf>
    <xf numFmtId="176" fontId="17" fillId="0" borderId="0" xfId="52" applyBorder="1" applyAlignment="1">
      <alignment horizontal="right" vertical="center"/>
    </xf>
    <xf numFmtId="182" fontId="16" fillId="0" borderId="1" xfId="53" applyNumberFormat="1" applyFont="1" applyBorder="1" applyAlignment="1">
      <alignment horizontal="center" vertical="center" wrapText="1"/>
    </xf>
    <xf numFmtId="176" fontId="16" fillId="0" borderId="1" xfId="52" applyFont="1" applyBorder="1" applyAlignment="1">
      <alignment horizontal="center" vertical="center" wrapText="1"/>
    </xf>
    <xf numFmtId="176" fontId="17" fillId="0" borderId="1" xfId="52" applyNumberFormat="1" applyBorder="1" applyAlignment="1">
      <alignment horizontal="center" vertical="center"/>
    </xf>
    <xf numFmtId="176" fontId="17" fillId="0" borderId="1" xfId="52" applyBorder="1" applyAlignment="1">
      <alignment horizontal="center" vertical="center"/>
    </xf>
    <xf numFmtId="182" fontId="0" fillId="0" borderId="1" xfId="53" applyNumberFormat="1" applyFont="1" applyBorder="1" applyAlignment="1">
      <alignment horizontal="center" vertical="center"/>
    </xf>
    <xf numFmtId="9" fontId="0" fillId="0" borderId="1" xfId="54" applyFont="1" applyBorder="1" applyAlignment="1">
      <alignment horizontal="center" vertical="center"/>
    </xf>
    <xf numFmtId="182" fontId="0" fillId="4" borderId="1" xfId="53" applyNumberFormat="1" applyFont="1" applyFill="1" applyBorder="1" applyAlignment="1">
      <alignment horizontal="center" vertical="center"/>
    </xf>
    <xf numFmtId="182" fontId="16" fillId="0" borderId="1" xfId="53" applyNumberFormat="1" applyFont="1" applyBorder="1" applyAlignment="1">
      <alignment horizontal="center" vertical="center"/>
    </xf>
    <xf numFmtId="9" fontId="16" fillId="0" borderId="1" xfId="54" applyFont="1" applyBorder="1" applyAlignment="1">
      <alignment horizontal="center" vertical="center"/>
    </xf>
    <xf numFmtId="182" fontId="16" fillId="4" borderId="1" xfId="53" applyNumberFormat="1" applyFont="1" applyFill="1" applyBorder="1" applyAlignment="1">
      <alignment horizontal="center" vertical="center"/>
    </xf>
    <xf numFmtId="176" fontId="0" fillId="0" borderId="0" xfId="0" applyNumberFormat="1" applyFill="1" applyAlignment="1"/>
    <xf numFmtId="176" fontId="0" fillId="0" borderId="0" xfId="0" applyNumberFormat="1" applyFill="1" applyAlignment="1">
      <alignment vertical="center" wrapText="1"/>
    </xf>
    <xf numFmtId="58" fontId="0" fillId="0" borderId="0" xfId="0" applyNumberFormat="1" applyFill="1" applyAlignment="1"/>
    <xf numFmtId="176" fontId="0" fillId="0" borderId="0" xfId="0" applyNumberFormat="1" applyFill="1" applyAlignment="1">
      <alignment wrapText="1"/>
    </xf>
    <xf numFmtId="49" fontId="5" fillId="0" borderId="1" xfId="49" applyNumberFormat="1" applyFont="1" applyBorder="1" applyAlignment="1">
      <alignment vertical="center"/>
    </xf>
    <xf numFmtId="49" fontId="5" fillId="0" borderId="5" xfId="49" applyNumberFormat="1" applyFont="1" applyBorder="1" applyAlignment="1">
      <alignment vertical="center" wrapText="1"/>
    </xf>
    <xf numFmtId="183" fontId="5" fillId="0" borderId="5" xfId="49" applyNumberFormat="1" applyFont="1" applyBorder="1" applyAlignment="1">
      <alignment vertical="center" wrapText="1"/>
    </xf>
    <xf numFmtId="49" fontId="5" fillId="3" borderId="5" xfId="49" applyNumberFormat="1" applyFont="1" applyFill="1" applyBorder="1" applyAlignment="1">
      <alignment vertical="center" wrapText="1"/>
    </xf>
    <xf numFmtId="49" fontId="5" fillId="3" borderId="1" xfId="49" applyNumberFormat="1" applyFont="1" applyFill="1" applyBorder="1" applyAlignment="1">
      <alignment vertical="center"/>
    </xf>
    <xf numFmtId="49" fontId="5" fillId="3" borderId="2" xfId="49" applyNumberFormat="1" applyFont="1" applyFill="1" applyBorder="1" applyAlignment="1">
      <alignment vertical="center"/>
    </xf>
    <xf numFmtId="49" fontId="5" fillId="3" borderId="3" xfId="49" applyNumberFormat="1" applyFont="1" applyFill="1" applyBorder="1" applyAlignment="1">
      <alignment vertical="center"/>
    </xf>
    <xf numFmtId="49" fontId="5" fillId="3" borderId="4" xfId="49" applyNumberFormat="1" applyFont="1" applyFill="1" applyBorder="1" applyAlignment="1">
      <alignment vertical="center"/>
    </xf>
    <xf numFmtId="176" fontId="0" fillId="0" borderId="0" xfId="49" applyFill="1"/>
    <xf numFmtId="181" fontId="5" fillId="2" borderId="1" xfId="49" applyNumberFormat="1" applyFont="1" applyFill="1" applyBorder="1" applyAlignment="1" applyProtection="1">
      <alignment horizontal="center" vertical="center" wrapText="1"/>
    </xf>
    <xf numFmtId="10" fontId="6" fillId="2" borderId="1" xfId="49" applyNumberFormat="1" applyFont="1" applyFill="1" applyBorder="1" applyAlignment="1" applyProtection="1">
      <alignment horizontal="center" vertical="center" wrapText="1"/>
    </xf>
    <xf numFmtId="176" fontId="18" fillId="0" borderId="1" xfId="49" applyFont="1" applyFill="1" applyBorder="1" applyAlignment="1">
      <alignment horizontal="left" vertical="center"/>
    </xf>
    <xf numFmtId="181" fontId="6" fillId="0" borderId="1" xfId="49" applyNumberFormat="1" applyFont="1" applyFill="1" applyBorder="1" applyAlignment="1" applyProtection="1">
      <alignment horizontal="center" vertical="center" wrapText="1"/>
    </xf>
    <xf numFmtId="10" fontId="6" fillId="0" borderId="1" xfId="49" applyNumberFormat="1" applyFont="1" applyFill="1" applyBorder="1" applyAlignment="1" applyProtection="1">
      <alignment horizontal="center" vertical="center" wrapText="1"/>
    </xf>
    <xf numFmtId="176" fontId="1" fillId="0" borderId="0" xfId="49" applyFont="1" applyFill="1"/>
    <xf numFmtId="181" fontId="7" fillId="2" borderId="1" xfId="49" applyNumberFormat="1" applyFont="1" applyFill="1" applyBorder="1" applyAlignment="1" applyProtection="1">
      <alignment horizontal="center" vertical="center" wrapText="1"/>
    </xf>
    <xf numFmtId="176" fontId="19" fillId="0" borderId="1" xfId="49" applyFont="1" applyFill="1" applyBorder="1" applyAlignment="1">
      <alignment horizontal="left" vertical="center"/>
    </xf>
    <xf numFmtId="176" fontId="2" fillId="0" borderId="0" xfId="49" applyFont="1" applyFill="1"/>
    <xf numFmtId="181" fontId="20" fillId="0" borderId="1" xfId="49" applyNumberFormat="1" applyFont="1" applyFill="1" applyBorder="1" applyAlignment="1" applyProtection="1">
      <alignment horizontal="center" vertical="center" wrapText="1"/>
    </xf>
    <xf numFmtId="176" fontId="21" fillId="0" borderId="1" xfId="49" applyFont="1" applyFill="1" applyBorder="1" applyAlignment="1">
      <alignment horizontal="left" vertical="center" wrapText="1"/>
    </xf>
    <xf numFmtId="1" fontId="7" fillId="0" borderId="1" xfId="49" applyNumberFormat="1" applyFont="1" applyFill="1" applyBorder="1" applyAlignment="1">
      <alignment horizontal="center" vertical="center"/>
    </xf>
    <xf numFmtId="183" fontId="22" fillId="0" borderId="1" xfId="50" applyNumberFormat="1" applyFont="1" applyFill="1" applyBorder="1" applyAlignment="1">
      <alignment horizontal="center" vertical="center"/>
    </xf>
    <xf numFmtId="10" fontId="22" fillId="0" borderId="1" xfId="50" applyNumberFormat="1" applyFont="1" applyFill="1" applyBorder="1" applyAlignment="1" applyProtection="1">
      <alignment horizontal="center" vertical="center" wrapText="1"/>
    </xf>
    <xf numFmtId="176" fontId="23" fillId="0" borderId="1" xfId="50" applyFont="1" applyFill="1" applyBorder="1" applyAlignment="1">
      <alignment horizontal="left" vertical="center" wrapText="1"/>
    </xf>
    <xf numFmtId="176" fontId="9" fillId="3" borderId="1" xfId="50" applyFont="1" applyFill="1" applyBorder="1" applyAlignment="1" applyProtection="1">
      <alignment horizontal="center" vertical="center" wrapText="1"/>
    </xf>
    <xf numFmtId="181" fontId="6" fillId="4" borderId="1" xfId="49" applyNumberFormat="1" applyFont="1" applyFill="1" applyBorder="1" applyAlignment="1" applyProtection="1">
      <alignment horizontal="center" vertical="center" wrapText="1"/>
    </xf>
    <xf numFmtId="176" fontId="10" fillId="3" borderId="1" xfId="50" applyFont="1" applyFill="1" applyBorder="1" applyAlignment="1" applyProtection="1">
      <alignment horizontal="center" vertical="center" wrapText="1"/>
    </xf>
    <xf numFmtId="1" fontId="7" fillId="0" borderId="1" xfId="49" applyNumberFormat="1" applyFont="1" applyBorder="1" applyAlignment="1">
      <alignment horizontal="center" vertical="center"/>
    </xf>
    <xf numFmtId="181" fontId="22" fillId="0" borderId="1" xfId="50" applyNumberFormat="1" applyFont="1" applyFill="1" applyBorder="1" applyAlignment="1" applyProtection="1">
      <alignment horizontal="center" vertical="center" wrapText="1"/>
    </xf>
    <xf numFmtId="181" fontId="6" fillId="3" borderId="1" xfId="49" applyNumberFormat="1" applyFont="1" applyFill="1" applyBorder="1" applyAlignment="1" applyProtection="1">
      <alignment horizontal="center" vertical="center" wrapText="1"/>
    </xf>
    <xf numFmtId="43" fontId="24" fillId="3" borderId="6" xfId="51" applyFont="1" applyFill="1" applyBorder="1" applyAlignment="1">
      <alignment horizontal="center" vertical="center"/>
    </xf>
    <xf numFmtId="176" fontId="1" fillId="0" borderId="0" xfId="49" applyFont="1"/>
    <xf numFmtId="176" fontId="1" fillId="3" borderId="1" xfId="49" applyFont="1" applyFill="1" applyBorder="1"/>
    <xf numFmtId="181" fontId="8" fillId="0" borderId="1" xfId="49" applyNumberFormat="1" applyFont="1" applyFill="1" applyBorder="1" applyAlignment="1" applyProtection="1">
      <alignment horizontal="center" vertical="center" wrapText="1"/>
    </xf>
    <xf numFmtId="10" fontId="8" fillId="2" borderId="1" xfId="49" applyNumberFormat="1" applyFont="1" applyFill="1" applyBorder="1" applyAlignment="1" applyProtection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3" xfId="49"/>
    <cellStyle name="常规 3" xfId="50"/>
    <cellStyle name="千位分隔 4" xfId="51"/>
    <cellStyle name="常规 2" xfId="52"/>
    <cellStyle name="千位分隔 2" xfId="53"/>
    <cellStyle name="百分比 2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C7" sqref="C7"/>
    </sheetView>
  </sheetViews>
  <sheetFormatPr defaultColWidth="8.72727272727273" defaultRowHeight="14"/>
  <cols>
    <col min="1" max="1" width="54.4545454545455" customWidth="1"/>
    <col min="2" max="2" width="17.1818181818182" customWidth="1"/>
    <col min="3" max="3" width="15.0909090909091" customWidth="1"/>
    <col min="4" max="4" width="10.7272727272727" customWidth="1"/>
    <col min="5" max="5" width="13.8181818181818" customWidth="1"/>
    <col min="6" max="7" width="8.72727272727273" customWidth="1"/>
    <col min="8" max="8" width="10.7272727272727" customWidth="1"/>
    <col min="9" max="9" width="15.0909090909091" customWidth="1"/>
    <col min="10" max="10" width="10.7272727272727" customWidth="1"/>
    <col min="11" max="11" width="13.8181818181818" customWidth="1"/>
    <col min="12" max="12" width="8.72727272727273" customWidth="1"/>
    <col min="13" max="13" width="15.5454545454545" customWidth="1"/>
    <col min="14" max="14" width="3" customWidth="1"/>
    <col min="15" max="15" width="12.6363636363636" customWidth="1"/>
    <col min="16" max="16" width="3" customWidth="1"/>
    <col min="17" max="17" width="9.63636363636364" customWidth="1"/>
    <col min="18" max="18" width="3" customWidth="1"/>
  </cols>
  <sheetData>
    <row r="1" ht="35" spans="1:21">
      <c r="A1" s="61" t="s">
        <v>0</v>
      </c>
      <c r="B1" s="61" t="s">
        <v>1</v>
      </c>
      <c r="C1" s="62" t="s">
        <v>2</v>
      </c>
      <c r="D1" s="63" t="s">
        <v>3</v>
      </c>
      <c r="E1" s="62" t="s">
        <v>4</v>
      </c>
      <c r="F1" s="62" t="s">
        <v>2</v>
      </c>
      <c r="G1" s="62" t="s">
        <v>3</v>
      </c>
      <c r="H1" s="62" t="s">
        <v>4</v>
      </c>
      <c r="I1" s="64" t="s">
        <v>2</v>
      </c>
      <c r="J1" s="64" t="s">
        <v>3</v>
      </c>
      <c r="K1" s="64" t="s">
        <v>4</v>
      </c>
      <c r="L1" s="64" t="s">
        <v>5</v>
      </c>
      <c r="M1" s="65" t="s">
        <v>6</v>
      </c>
      <c r="N1" s="65"/>
      <c r="O1" s="65"/>
      <c r="P1" s="66" t="s">
        <v>7</v>
      </c>
      <c r="Q1" s="67"/>
      <c r="R1" s="68"/>
      <c r="S1" s="66" t="s">
        <v>8</v>
      </c>
      <c r="T1" s="67"/>
      <c r="U1" s="68"/>
    </row>
    <row r="2" ht="35" spans="1:21">
      <c r="A2" s="69"/>
      <c r="B2" s="70" t="s">
        <v>9</v>
      </c>
      <c r="C2" s="13">
        <f t="shared" ref="C2:G2" si="0">SUM(C7:C14)</f>
        <v>3688</v>
      </c>
      <c r="D2" s="13">
        <f t="shared" si="0"/>
        <v>778</v>
      </c>
      <c r="E2" s="71">
        <f t="shared" ref="E2:E6" si="1">(C2-D2)/ABS(D2)</f>
        <v>3.74035989717224</v>
      </c>
      <c r="F2" s="13">
        <f t="shared" si="0"/>
        <v>109</v>
      </c>
      <c r="G2" s="13">
        <f t="shared" si="0"/>
        <v>69</v>
      </c>
      <c r="H2" s="71">
        <f t="shared" ref="H2:H6" si="2">(F2-G2)/ABS(G2)</f>
        <v>0.579710144927536</v>
      </c>
      <c r="I2" s="13">
        <f>SUM(I7:I14)</f>
        <v>3688</v>
      </c>
      <c r="J2" s="13">
        <f>SUM(J7:J14)</f>
        <v>778</v>
      </c>
      <c r="K2" s="71">
        <f t="shared" ref="K2:K6" si="3">(I2-J2)/ABS(J2)</f>
        <v>3.74035989717224</v>
      </c>
      <c r="L2" s="72"/>
      <c r="M2" s="73">
        <f t="shared" ref="M2:Q2" si="4">SUM(M8:M15)</f>
        <v>9539.6</v>
      </c>
      <c r="N2" s="73">
        <f t="shared" si="4"/>
        <v>0</v>
      </c>
      <c r="O2" s="74" t="e">
        <f t="shared" ref="O2:O6" si="5">(M2-N2)/ABS(N2)</f>
        <v>#DIV/0!</v>
      </c>
      <c r="P2" s="73">
        <f t="shared" si="4"/>
        <v>2538.2</v>
      </c>
      <c r="Q2" s="73">
        <f t="shared" si="4"/>
        <v>0</v>
      </c>
      <c r="R2" s="74" t="e">
        <f t="shared" ref="R2:R6" si="6">(P2-Q2)/ABS(Q2)</f>
        <v>#DIV/0!</v>
      </c>
      <c r="S2" s="73">
        <f>SUM(S8:S15)</f>
        <v>34969.515</v>
      </c>
      <c r="T2" s="73">
        <f>SUM(T8:T15)</f>
        <v>0</v>
      </c>
      <c r="U2" s="74" t="e">
        <f t="shared" ref="U2:U6" si="7">(S2-T2)/ABS(T2)</f>
        <v>#DIV/0!</v>
      </c>
    </row>
    <row r="3" ht="18" spans="1:21">
      <c r="A3" s="75"/>
      <c r="B3" s="76" t="s">
        <v>10</v>
      </c>
      <c r="C3" s="13">
        <f t="shared" ref="C3:G3" si="8">SUM(C15:C16)</f>
        <v>2022</v>
      </c>
      <c r="D3" s="13">
        <f t="shared" si="8"/>
        <v>292</v>
      </c>
      <c r="E3" s="71">
        <f t="shared" si="1"/>
        <v>5.92465753424658</v>
      </c>
      <c r="F3" s="13">
        <f t="shared" si="8"/>
        <v>37</v>
      </c>
      <c r="G3" s="13">
        <f t="shared" si="8"/>
        <v>27</v>
      </c>
      <c r="H3" s="95">
        <f t="shared" si="2"/>
        <v>0.37037037037037</v>
      </c>
      <c r="I3" s="13">
        <f>SUM(I15:I16)</f>
        <v>2022</v>
      </c>
      <c r="J3" s="13">
        <f>SUM(J15:J16)</f>
        <v>292</v>
      </c>
      <c r="K3" s="95">
        <f t="shared" si="3"/>
        <v>5.92465753424658</v>
      </c>
      <c r="L3" s="77"/>
      <c r="M3" s="73"/>
      <c r="N3" s="73"/>
      <c r="O3" s="74"/>
      <c r="P3" s="73"/>
      <c r="Q3" s="73"/>
      <c r="R3" s="74"/>
      <c r="S3" s="73"/>
      <c r="T3" s="73"/>
      <c r="U3" s="74"/>
    </row>
    <row r="4" ht="35" spans="1:21">
      <c r="A4" s="78"/>
      <c r="B4" s="76" t="s">
        <v>11</v>
      </c>
      <c r="C4" s="16">
        <f t="shared" ref="C4:G4" si="9">SUM(C16:C117)</f>
        <v>1111</v>
      </c>
      <c r="D4" s="16">
        <f t="shared" si="9"/>
        <v>151</v>
      </c>
      <c r="E4" s="71">
        <f t="shared" si="1"/>
        <v>6.35761589403973</v>
      </c>
      <c r="F4" s="16">
        <f t="shared" si="9"/>
        <v>19</v>
      </c>
      <c r="G4" s="16">
        <f t="shared" si="9"/>
        <v>14</v>
      </c>
      <c r="H4" s="95">
        <f t="shared" si="2"/>
        <v>0.357142857142857</v>
      </c>
      <c r="I4" s="16">
        <f>SUM(I16:I117)</f>
        <v>1111</v>
      </c>
      <c r="J4" s="16">
        <f>SUM(J16:J117)</f>
        <v>151</v>
      </c>
      <c r="K4" s="95">
        <f t="shared" si="3"/>
        <v>6.35761589403973</v>
      </c>
      <c r="L4" s="72"/>
      <c r="M4" s="79">
        <f t="shared" ref="M4:Q4" si="10">SUM(M8:M16)</f>
        <v>9730.7418</v>
      </c>
      <c r="N4" s="79">
        <f t="shared" si="10"/>
        <v>0</v>
      </c>
      <c r="O4" s="74" t="e">
        <f t="shared" si="5"/>
        <v>#DIV/0!</v>
      </c>
      <c r="P4" s="79">
        <f t="shared" si="10"/>
        <v>2538.2</v>
      </c>
      <c r="Q4" s="79">
        <f t="shared" si="10"/>
        <v>0</v>
      </c>
      <c r="R4" s="74" t="e">
        <f t="shared" si="6"/>
        <v>#DIV/0!</v>
      </c>
      <c r="S4" s="79">
        <f>SUM(S8:S16)</f>
        <v>34969.515</v>
      </c>
      <c r="T4" s="79">
        <f>SUM(T8:T16)</f>
        <v>0</v>
      </c>
      <c r="U4" s="74" t="e">
        <f t="shared" si="7"/>
        <v>#DIV/0!</v>
      </c>
    </row>
    <row r="5" ht="35" spans="1:21">
      <c r="A5" s="69"/>
      <c r="B5" s="70" t="s">
        <v>12</v>
      </c>
      <c r="C5" s="13">
        <f t="shared" ref="C5:G5" si="11">SUM(C7:C12)</f>
        <v>2166</v>
      </c>
      <c r="D5" s="13">
        <f t="shared" si="11"/>
        <v>526</v>
      </c>
      <c r="E5" s="71">
        <f t="shared" si="1"/>
        <v>3.11787072243346</v>
      </c>
      <c r="F5" s="13">
        <f t="shared" si="11"/>
        <v>76</v>
      </c>
      <c r="G5" s="13">
        <f t="shared" si="11"/>
        <v>46</v>
      </c>
      <c r="H5" s="71">
        <f t="shared" si="2"/>
        <v>0.652173913043478</v>
      </c>
      <c r="I5" s="13">
        <f>SUM(I7:I12)</f>
        <v>2166</v>
      </c>
      <c r="J5" s="13">
        <f>SUM(J7:J12)</f>
        <v>526</v>
      </c>
      <c r="K5" s="71">
        <f t="shared" si="3"/>
        <v>3.11787072243346</v>
      </c>
      <c r="L5" s="80"/>
      <c r="M5" s="79"/>
      <c r="N5" s="79"/>
      <c r="O5" s="74"/>
      <c r="P5" s="79"/>
      <c r="Q5" s="79"/>
      <c r="R5" s="74"/>
      <c r="S5" s="79"/>
      <c r="T5" s="79"/>
      <c r="U5" s="74"/>
    </row>
    <row r="6" ht="35" spans="1:21">
      <c r="A6" s="69"/>
      <c r="B6" s="70" t="s">
        <v>13</v>
      </c>
      <c r="C6" s="13">
        <f t="shared" ref="C6:G6" si="12">SUM(C13:C14)</f>
        <v>1522</v>
      </c>
      <c r="D6" s="13">
        <f t="shared" si="12"/>
        <v>252</v>
      </c>
      <c r="E6" s="71">
        <f t="shared" si="1"/>
        <v>5.03968253968254</v>
      </c>
      <c r="F6" s="13">
        <f t="shared" si="12"/>
        <v>33</v>
      </c>
      <c r="G6" s="13">
        <f t="shared" si="12"/>
        <v>23</v>
      </c>
      <c r="H6" s="71">
        <f t="shared" si="2"/>
        <v>0.434782608695652</v>
      </c>
      <c r="I6" s="13">
        <f>SUM(I13:I14)</f>
        <v>1522</v>
      </c>
      <c r="J6" s="13">
        <f>SUM(J13:J14)</f>
        <v>252</v>
      </c>
      <c r="K6" s="71">
        <f t="shared" si="3"/>
        <v>5.03968253968254</v>
      </c>
      <c r="L6" s="80"/>
      <c r="M6" s="73">
        <f t="shared" ref="M6:Q6" si="13">SUM(M8:M13)</f>
        <v>9446.6</v>
      </c>
      <c r="N6" s="73">
        <f t="shared" si="13"/>
        <v>0</v>
      </c>
      <c r="O6" s="74" t="e">
        <f t="shared" si="5"/>
        <v>#DIV/0!</v>
      </c>
      <c r="P6" s="73">
        <f t="shared" si="13"/>
        <v>2544.2</v>
      </c>
      <c r="Q6" s="73">
        <f t="shared" si="13"/>
        <v>0</v>
      </c>
      <c r="R6" s="74" t="e">
        <f t="shared" si="6"/>
        <v>#DIV/0!</v>
      </c>
      <c r="S6" s="73">
        <f>SUM(S8:S13)</f>
        <v>34605.215</v>
      </c>
      <c r="T6" s="73">
        <f>SUM(T8:T13)</f>
        <v>0</v>
      </c>
      <c r="U6" s="74" t="e">
        <f t="shared" si="7"/>
        <v>#DIV/0!</v>
      </c>
    </row>
    <row r="7" ht="120" spans="1:21">
      <c r="A7" s="81">
        <v>1</v>
      </c>
      <c r="B7" s="19" t="s">
        <v>14</v>
      </c>
      <c r="C7" s="82">
        <v>111</v>
      </c>
      <c r="D7" s="82">
        <v>61</v>
      </c>
      <c r="E7" s="83">
        <f>(C8-D8)/ABS(D8)</f>
        <v>1.97183098591549</v>
      </c>
      <c r="F7" s="82">
        <v>11</v>
      </c>
      <c r="G7" s="82">
        <v>5</v>
      </c>
      <c r="H7" s="83">
        <f>(F8-G8)/ABS(G8)</f>
        <v>0.833333333333333</v>
      </c>
      <c r="I7" s="82">
        <v>111</v>
      </c>
      <c r="J7" s="82">
        <v>61</v>
      </c>
      <c r="K7" s="83">
        <f>(I8-J8)/ABS(J8)</f>
        <v>1.97183098591549</v>
      </c>
      <c r="L7" s="84" t="s">
        <v>15</v>
      </c>
      <c r="M7" s="73"/>
      <c r="N7" s="73"/>
      <c r="O7" s="74" t="e">
        <f>(M8-N8)/ABS(N8)</f>
        <v>#DIV/0!</v>
      </c>
      <c r="P7" s="73"/>
      <c r="Q7" s="73"/>
      <c r="R7" s="73"/>
      <c r="S7" s="73"/>
      <c r="T7" s="73"/>
      <c r="U7" s="73"/>
    </row>
    <row r="8" ht="120" spans="1:21">
      <c r="A8" s="81">
        <v>2</v>
      </c>
      <c r="B8" s="85" t="s">
        <v>16</v>
      </c>
      <c r="C8" s="82">
        <v>211</v>
      </c>
      <c r="D8" s="82">
        <v>71</v>
      </c>
      <c r="E8" s="83">
        <f t="shared" ref="E8:E16" si="14">(C8-D8)/ABS(D8)</f>
        <v>1.97183098591549</v>
      </c>
      <c r="F8" s="82">
        <v>11</v>
      </c>
      <c r="G8" s="82">
        <v>6</v>
      </c>
      <c r="H8" s="83">
        <f t="shared" ref="H8:H16" si="15">(F8-G8)/ABS(G8)</f>
        <v>0.833333333333333</v>
      </c>
      <c r="I8" s="82">
        <v>211</v>
      </c>
      <c r="J8" s="82">
        <v>71</v>
      </c>
      <c r="K8" s="83">
        <f t="shared" ref="K8:K11" si="16">(I8-J8)/ABS(J8)</f>
        <v>1.97183098591549</v>
      </c>
      <c r="L8" s="84" t="s">
        <v>15</v>
      </c>
      <c r="M8" s="73">
        <v>2614.4</v>
      </c>
      <c r="N8" s="86"/>
      <c r="O8" s="74" t="e">
        <f t="shared" ref="O8:O16" si="17">(M8-N8)/ABS(N8)</f>
        <v>#DIV/0!</v>
      </c>
      <c r="P8" s="73">
        <v>246.6</v>
      </c>
      <c r="Q8" s="73"/>
      <c r="R8" s="73"/>
      <c r="S8" s="73">
        <v>7575.4</v>
      </c>
      <c r="T8" s="73"/>
      <c r="U8" s="73"/>
    </row>
    <row r="9" ht="120" spans="1:21">
      <c r="A9" s="81">
        <v>3</v>
      </c>
      <c r="B9" s="87" t="s">
        <v>17</v>
      </c>
      <c r="C9" s="82">
        <v>311</v>
      </c>
      <c r="D9" s="82">
        <v>81</v>
      </c>
      <c r="E9" s="83">
        <f t="shared" si="14"/>
        <v>2.83950617283951</v>
      </c>
      <c r="F9" s="82">
        <v>12</v>
      </c>
      <c r="G9" s="82">
        <v>7</v>
      </c>
      <c r="H9" s="83">
        <f t="shared" si="15"/>
        <v>0.714285714285714</v>
      </c>
      <c r="I9" s="82">
        <v>311</v>
      </c>
      <c r="J9" s="82">
        <v>81</v>
      </c>
      <c r="K9" s="83">
        <f t="shared" si="16"/>
        <v>2.83950617283951</v>
      </c>
      <c r="L9" s="84" t="s">
        <v>15</v>
      </c>
      <c r="M9" s="73">
        <v>3611.9</v>
      </c>
      <c r="N9" s="73"/>
      <c r="O9" s="74" t="e">
        <f t="shared" si="17"/>
        <v>#DIV/0!</v>
      </c>
      <c r="P9" s="73">
        <v>2181</v>
      </c>
      <c r="Q9" s="73"/>
      <c r="R9" s="73"/>
      <c r="S9" s="73">
        <v>19817</v>
      </c>
      <c r="T9" s="73"/>
      <c r="U9" s="73"/>
    </row>
    <row r="10" ht="120" spans="1:21">
      <c r="A10" s="81">
        <v>4</v>
      </c>
      <c r="B10" s="19" t="s">
        <v>18</v>
      </c>
      <c r="C10" s="82">
        <v>411</v>
      </c>
      <c r="D10" s="82">
        <v>91</v>
      </c>
      <c r="E10" s="83">
        <f t="shared" si="14"/>
        <v>3.51648351648352</v>
      </c>
      <c r="F10" s="82">
        <v>13</v>
      </c>
      <c r="G10" s="82">
        <v>8</v>
      </c>
      <c r="H10" s="83">
        <f t="shared" si="15"/>
        <v>0.625</v>
      </c>
      <c r="I10" s="82">
        <v>411</v>
      </c>
      <c r="J10" s="82">
        <v>91</v>
      </c>
      <c r="K10" s="83">
        <f t="shared" si="16"/>
        <v>3.51648351648352</v>
      </c>
      <c r="L10" s="84" t="s">
        <v>15</v>
      </c>
      <c r="M10" s="73">
        <v>2218</v>
      </c>
      <c r="N10" s="73"/>
      <c r="O10" s="74" t="e">
        <f t="shared" si="17"/>
        <v>#DIV/0!</v>
      </c>
      <c r="P10" s="73">
        <v>317</v>
      </c>
      <c r="Q10" s="73"/>
      <c r="R10" s="73"/>
      <c r="S10" s="73">
        <v>1859.7</v>
      </c>
      <c r="T10" s="73"/>
      <c r="U10" s="73"/>
    </row>
    <row r="11" ht="120" spans="1:21">
      <c r="A11" s="81">
        <v>5</v>
      </c>
      <c r="B11" s="19" t="s">
        <v>19</v>
      </c>
      <c r="C11" s="82">
        <v>511</v>
      </c>
      <c r="D11" s="82">
        <v>111</v>
      </c>
      <c r="E11" s="83">
        <f t="shared" si="14"/>
        <v>3.6036036036036</v>
      </c>
      <c r="F11" s="82">
        <v>14</v>
      </c>
      <c r="G11" s="82">
        <v>9</v>
      </c>
      <c r="H11" s="83">
        <f t="shared" si="15"/>
        <v>0.555555555555556</v>
      </c>
      <c r="I11" s="82">
        <v>511</v>
      </c>
      <c r="J11" s="82">
        <v>111</v>
      </c>
      <c r="K11" s="83">
        <f t="shared" si="16"/>
        <v>3.6036036036036</v>
      </c>
      <c r="L11" s="84" t="s">
        <v>15</v>
      </c>
      <c r="M11" s="73">
        <v>571.2</v>
      </c>
      <c r="N11" s="73"/>
      <c r="O11" s="74" t="e">
        <f t="shared" si="17"/>
        <v>#DIV/0!</v>
      </c>
      <c r="P11" s="73">
        <v>-556</v>
      </c>
      <c r="Q11" s="73"/>
      <c r="R11" s="73"/>
      <c r="S11" s="73">
        <v>4662.8</v>
      </c>
      <c r="T11" s="73"/>
      <c r="U11" s="73"/>
    </row>
    <row r="12" ht="120" spans="1:21">
      <c r="A12" s="88">
        <v>6</v>
      </c>
      <c r="B12" s="85" t="s">
        <v>20</v>
      </c>
      <c r="C12" s="82">
        <v>611</v>
      </c>
      <c r="D12" s="82">
        <v>111</v>
      </c>
      <c r="E12" s="83">
        <f t="shared" si="14"/>
        <v>4.5045045045045</v>
      </c>
      <c r="F12" s="82">
        <v>15</v>
      </c>
      <c r="G12" s="82">
        <v>11</v>
      </c>
      <c r="H12" s="83">
        <f t="shared" si="15"/>
        <v>0.363636363636364</v>
      </c>
      <c r="I12" s="82">
        <v>611</v>
      </c>
      <c r="J12" s="82">
        <v>111</v>
      </c>
      <c r="K12" s="89" t="s">
        <v>21</v>
      </c>
      <c r="L12" s="84" t="s">
        <v>15</v>
      </c>
      <c r="M12" s="90">
        <v>87.8</v>
      </c>
      <c r="N12" s="91"/>
      <c r="O12" s="74" t="e">
        <f t="shared" si="17"/>
        <v>#DIV/0!</v>
      </c>
      <c r="P12" s="73">
        <v>31.3</v>
      </c>
      <c r="Q12" s="73"/>
      <c r="R12" s="73"/>
      <c r="S12" s="73">
        <v>34.215</v>
      </c>
      <c r="T12" s="92"/>
      <c r="U12" s="73"/>
    </row>
    <row r="13" ht="120" spans="1:21">
      <c r="A13" s="88">
        <v>7</v>
      </c>
      <c r="B13" s="85" t="s">
        <v>22</v>
      </c>
      <c r="C13" s="82">
        <v>711</v>
      </c>
      <c r="D13" s="82">
        <v>121</v>
      </c>
      <c r="E13" s="83">
        <f t="shared" si="14"/>
        <v>4.87603305785124</v>
      </c>
      <c r="F13" s="82">
        <v>16</v>
      </c>
      <c r="G13" s="82">
        <v>11</v>
      </c>
      <c r="H13" s="83">
        <f t="shared" si="15"/>
        <v>0.454545454545455</v>
      </c>
      <c r="I13" s="82">
        <v>711</v>
      </c>
      <c r="J13" s="82">
        <v>121</v>
      </c>
      <c r="K13" s="83">
        <f t="shared" ref="K13:K16" si="18">(I13-J13)/ABS(J13)</f>
        <v>4.87603305785124</v>
      </c>
      <c r="L13" s="84" t="s">
        <v>15</v>
      </c>
      <c r="M13" s="90">
        <v>343.3</v>
      </c>
      <c r="N13" s="73"/>
      <c r="O13" s="74" t="e">
        <f t="shared" si="17"/>
        <v>#DIV/0!</v>
      </c>
      <c r="P13" s="73">
        <v>324.3</v>
      </c>
      <c r="Q13" s="73"/>
      <c r="R13" s="73"/>
      <c r="S13" s="73">
        <v>656.1</v>
      </c>
      <c r="T13" s="73"/>
      <c r="U13" s="73"/>
    </row>
    <row r="14" ht="120" spans="1:21">
      <c r="A14" s="81">
        <v>8</v>
      </c>
      <c r="B14" s="85" t="s">
        <v>23</v>
      </c>
      <c r="C14" s="82">
        <v>811</v>
      </c>
      <c r="D14" s="82">
        <v>131</v>
      </c>
      <c r="E14" s="83">
        <f t="shared" si="14"/>
        <v>5.19083969465649</v>
      </c>
      <c r="F14" s="82">
        <v>17</v>
      </c>
      <c r="G14" s="82">
        <v>12</v>
      </c>
      <c r="H14" s="83">
        <f t="shared" si="15"/>
        <v>0.416666666666667</v>
      </c>
      <c r="I14" s="82">
        <v>811</v>
      </c>
      <c r="J14" s="82">
        <v>131</v>
      </c>
      <c r="K14" s="83">
        <f t="shared" si="18"/>
        <v>5.19083969465649</v>
      </c>
      <c r="L14" s="84" t="s">
        <v>15</v>
      </c>
      <c r="M14" s="73">
        <v>93</v>
      </c>
      <c r="N14" s="73"/>
      <c r="O14" s="74" t="e">
        <f t="shared" si="17"/>
        <v>#DIV/0!</v>
      </c>
      <c r="P14" s="73">
        <v>-6</v>
      </c>
      <c r="Q14" s="73"/>
      <c r="R14" s="73"/>
      <c r="S14" s="73">
        <v>364.3</v>
      </c>
      <c r="T14" s="73"/>
      <c r="U14" s="73"/>
    </row>
    <row r="15" ht="120" spans="1:21">
      <c r="A15" s="88">
        <v>9</v>
      </c>
      <c r="B15" s="85" t="s">
        <v>24</v>
      </c>
      <c r="C15" s="82">
        <v>911</v>
      </c>
      <c r="D15" s="82">
        <v>141</v>
      </c>
      <c r="E15" s="83">
        <f t="shared" si="14"/>
        <v>5.46099290780142</v>
      </c>
      <c r="F15" s="82">
        <v>18</v>
      </c>
      <c r="G15" s="82">
        <v>13</v>
      </c>
      <c r="H15" s="83">
        <f t="shared" si="15"/>
        <v>0.384615384615385</v>
      </c>
      <c r="I15" s="82">
        <v>911</v>
      </c>
      <c r="J15" s="82">
        <v>141</v>
      </c>
      <c r="K15" s="83">
        <f t="shared" si="18"/>
        <v>5.46099290780142</v>
      </c>
      <c r="L15" s="84" t="s">
        <v>15</v>
      </c>
      <c r="M15" s="93"/>
      <c r="N15" s="73"/>
      <c r="O15" s="74" t="e">
        <f t="shared" si="17"/>
        <v>#DIV/0!</v>
      </c>
      <c r="P15" s="73"/>
      <c r="Q15" s="73"/>
      <c r="R15" s="73"/>
      <c r="S15" s="73"/>
      <c r="T15" s="73"/>
      <c r="U15" s="73"/>
    </row>
    <row r="16" ht="120" spans="1:21">
      <c r="A16" s="88">
        <v>11</v>
      </c>
      <c r="B16" s="85" t="s">
        <v>25</v>
      </c>
      <c r="C16" s="82">
        <v>1111</v>
      </c>
      <c r="D16" s="82">
        <v>151</v>
      </c>
      <c r="E16" s="83">
        <f t="shared" si="14"/>
        <v>6.35761589403973</v>
      </c>
      <c r="F16" s="82">
        <v>19</v>
      </c>
      <c r="G16" s="82">
        <v>14</v>
      </c>
      <c r="H16" s="83">
        <f t="shared" si="15"/>
        <v>0.357142857142857</v>
      </c>
      <c r="I16" s="82">
        <v>1111</v>
      </c>
      <c r="J16" s="82">
        <v>151</v>
      </c>
      <c r="K16" s="83">
        <f t="shared" si="18"/>
        <v>6.35761589403973</v>
      </c>
      <c r="L16" s="84" t="s">
        <v>15</v>
      </c>
      <c r="M16" s="94">
        <v>191.1418</v>
      </c>
      <c r="N16" s="93"/>
      <c r="O16" s="74" t="e">
        <f t="shared" si="17"/>
        <v>#DIV/0!</v>
      </c>
      <c r="P16" s="73"/>
      <c r="Q16" s="73"/>
      <c r="R16" s="73"/>
      <c r="S16" s="73"/>
      <c r="T16" s="73"/>
      <c r="U16" s="7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E4" sqref="E4"/>
    </sheetView>
  </sheetViews>
  <sheetFormatPr defaultColWidth="8.72727272727273" defaultRowHeight="14"/>
  <cols>
    <col min="1" max="1" width="54.4545454545455" customWidth="1"/>
    <col min="2" max="2" width="17.1818181818182" customWidth="1"/>
    <col min="3" max="3" width="15.0909090909091" customWidth="1"/>
    <col min="4" max="4" width="10.7272727272727" customWidth="1"/>
    <col min="5" max="5" width="13.8181818181818" customWidth="1"/>
    <col min="6" max="7" width="8.72727272727273" customWidth="1"/>
    <col min="8" max="8" width="10.7272727272727" customWidth="1"/>
    <col min="9" max="9" width="15.0909090909091" customWidth="1"/>
    <col min="10" max="10" width="10.7272727272727" customWidth="1"/>
    <col min="11" max="11" width="13.8181818181818" customWidth="1"/>
    <col min="12" max="12" width="8.72727272727273" customWidth="1"/>
    <col min="13" max="13" width="15.5454545454545" customWidth="1"/>
    <col min="14" max="14" width="3" customWidth="1"/>
    <col min="15" max="15" width="10.1818181818182" customWidth="1"/>
    <col min="16" max="16" width="12.6363636363636" customWidth="1"/>
    <col min="17" max="17" width="3" customWidth="1"/>
    <col min="18" max="18" width="10.1818181818182" customWidth="1"/>
    <col min="19" max="19" width="9.63636363636364" customWidth="1"/>
    <col min="20" max="20" width="3" customWidth="1"/>
    <col min="21" max="21" width="10.1818181818182" customWidth="1"/>
  </cols>
  <sheetData>
    <row r="1" ht="35" spans="1:21">
      <c r="A1" s="61" t="s">
        <v>26</v>
      </c>
      <c r="B1" s="61" t="s">
        <v>1</v>
      </c>
      <c r="C1" s="62" t="s">
        <v>2</v>
      </c>
      <c r="D1" s="63" t="s">
        <v>3</v>
      </c>
      <c r="E1" s="62" t="s">
        <v>4</v>
      </c>
      <c r="F1" s="62" t="s">
        <v>2</v>
      </c>
      <c r="G1" s="62" t="s">
        <v>3</v>
      </c>
      <c r="H1" s="62" t="s">
        <v>4</v>
      </c>
      <c r="I1" s="64" t="s">
        <v>2</v>
      </c>
      <c r="J1" s="64" t="s">
        <v>3</v>
      </c>
      <c r="K1" s="64" t="s">
        <v>4</v>
      </c>
      <c r="L1" s="64" t="s">
        <v>5</v>
      </c>
      <c r="M1" s="65" t="s">
        <v>6</v>
      </c>
      <c r="N1" s="65"/>
      <c r="O1" s="65"/>
      <c r="P1" s="66" t="s">
        <v>7</v>
      </c>
      <c r="Q1" s="67"/>
      <c r="R1" s="68"/>
      <c r="S1" s="66" t="s">
        <v>8</v>
      </c>
      <c r="T1" s="67"/>
      <c r="U1" s="68"/>
    </row>
    <row r="2" ht="35" spans="1:21">
      <c r="A2" s="69"/>
      <c r="B2" s="70" t="s">
        <v>9</v>
      </c>
      <c r="C2" s="13">
        <f t="shared" ref="C2:G2" si="0">SUM(C7:C14)</f>
        <v>376160</v>
      </c>
      <c r="D2" s="13">
        <f t="shared" si="0"/>
        <v>18760</v>
      </c>
      <c r="E2" s="71">
        <f t="shared" ref="E2:E6" si="1">(C2-D2)/ABS(D2)</f>
        <v>19.0511727078891</v>
      </c>
      <c r="F2" s="13">
        <f t="shared" si="0"/>
        <v>218</v>
      </c>
      <c r="G2" s="13">
        <f t="shared" si="0"/>
        <v>178</v>
      </c>
      <c r="H2" s="71">
        <f t="shared" ref="H2:H6" si="2">(F2-G2)/ABS(G2)</f>
        <v>0.224719101123595</v>
      </c>
      <c r="I2" s="13">
        <f>SUM(I7:I14)</f>
        <v>376160</v>
      </c>
      <c r="J2" s="13">
        <f>SUM(J7:J14)</f>
        <v>18760</v>
      </c>
      <c r="K2" s="71">
        <f t="shared" ref="K2:K6" si="3">(I2-J2)/ABS(J2)</f>
        <v>19.0511727078891</v>
      </c>
      <c r="L2" s="72"/>
      <c r="M2" s="73">
        <f t="shared" ref="M2:Q2" si="4">SUM(M8:M15)</f>
        <v>411528.6</v>
      </c>
      <c r="N2" s="73">
        <f t="shared" si="4"/>
        <v>0</v>
      </c>
      <c r="O2" s="74" t="e">
        <f t="shared" ref="O2:O6" si="5">(M2-N2)/ABS(N2)</f>
        <v>#DIV/0!</v>
      </c>
      <c r="P2" s="73">
        <f t="shared" si="4"/>
        <v>2827.2</v>
      </c>
      <c r="Q2" s="73">
        <f t="shared" si="4"/>
        <v>0</v>
      </c>
      <c r="R2" s="74" t="e">
        <f t="shared" ref="R2:R6" si="6">(P2-Q2)/ABS(Q2)</f>
        <v>#DIV/0!</v>
      </c>
      <c r="S2" s="73">
        <f>SUM(S8:S15)</f>
        <v>34969.515</v>
      </c>
      <c r="T2" s="73">
        <f>SUM(T8:T15)</f>
        <v>0</v>
      </c>
      <c r="U2" s="74" t="e">
        <f t="shared" ref="U2:U6" si="7">(S2-T2)/ABS(T2)</f>
        <v>#DIV/0!</v>
      </c>
    </row>
    <row r="3" ht="18" spans="1:21">
      <c r="A3" s="75"/>
      <c r="B3" s="76" t="s">
        <v>10</v>
      </c>
      <c r="C3" s="13">
        <f t="shared" ref="C3:G3" si="8">SUM(C15:C16)</f>
        <v>1294040</v>
      </c>
      <c r="D3" s="13">
        <f t="shared" si="8"/>
        <v>2940</v>
      </c>
      <c r="E3" s="71">
        <f t="shared" si="1"/>
        <v>439.149659863946</v>
      </c>
      <c r="F3" s="13">
        <f t="shared" si="8"/>
        <v>37</v>
      </c>
      <c r="G3" s="13">
        <f t="shared" si="8"/>
        <v>27</v>
      </c>
      <c r="H3" s="71">
        <f t="shared" si="2"/>
        <v>0.37037037037037</v>
      </c>
      <c r="I3" s="13">
        <f>SUM(I15:I16)</f>
        <v>1294040</v>
      </c>
      <c r="J3" s="13">
        <f>SUM(J15:J16)</f>
        <v>2940</v>
      </c>
      <c r="K3" s="71">
        <f t="shared" si="3"/>
        <v>439.149659863946</v>
      </c>
      <c r="L3" s="77"/>
      <c r="M3" s="73"/>
      <c r="N3" s="73"/>
      <c r="O3" s="74"/>
      <c r="P3" s="73"/>
      <c r="Q3" s="73"/>
      <c r="R3" s="74"/>
      <c r="S3" s="73"/>
      <c r="T3" s="73"/>
      <c r="U3" s="74"/>
    </row>
    <row r="4" ht="35" spans="1:21">
      <c r="A4" s="78"/>
      <c r="B4" s="76" t="s">
        <v>27</v>
      </c>
      <c r="C4" s="16">
        <f t="shared" ref="C4:G4" si="9">SUM(C16:C117)</f>
        <v>1202020</v>
      </c>
      <c r="D4" s="16">
        <f t="shared" si="9"/>
        <v>1520</v>
      </c>
      <c r="E4" s="71">
        <f t="shared" si="1"/>
        <v>789.802631578947</v>
      </c>
      <c r="F4" s="16">
        <f t="shared" si="9"/>
        <v>19</v>
      </c>
      <c r="G4" s="16">
        <f t="shared" si="9"/>
        <v>14</v>
      </c>
      <c r="H4" s="71">
        <f t="shared" si="2"/>
        <v>0.357142857142857</v>
      </c>
      <c r="I4" s="16">
        <f>SUM(I16:I117)</f>
        <v>1202020</v>
      </c>
      <c r="J4" s="16">
        <f>SUM(J16:J117)</f>
        <v>1520</v>
      </c>
      <c r="K4" s="71">
        <f t="shared" si="3"/>
        <v>789.802631578947</v>
      </c>
      <c r="L4" s="72"/>
      <c r="M4" s="79">
        <f t="shared" ref="M4:Q4" si="10">SUM(M8:M16)</f>
        <v>413448.80418</v>
      </c>
      <c r="N4" s="79">
        <f t="shared" si="10"/>
        <v>0</v>
      </c>
      <c r="O4" s="74" t="e">
        <f t="shared" si="5"/>
        <v>#DIV/0!</v>
      </c>
      <c r="P4" s="79">
        <f t="shared" si="10"/>
        <v>2827.2</v>
      </c>
      <c r="Q4" s="79">
        <f t="shared" si="10"/>
        <v>0</v>
      </c>
      <c r="R4" s="74" t="e">
        <f t="shared" si="6"/>
        <v>#DIV/0!</v>
      </c>
      <c r="S4" s="79">
        <f>SUM(S8:S16)</f>
        <v>34969.515</v>
      </c>
      <c r="T4" s="79">
        <f>SUM(T8:T16)</f>
        <v>0</v>
      </c>
      <c r="U4" s="74" t="e">
        <f t="shared" si="7"/>
        <v>#DIV/0!</v>
      </c>
    </row>
    <row r="5" ht="35" spans="1:21">
      <c r="A5" s="69"/>
      <c r="B5" s="70" t="s">
        <v>12</v>
      </c>
      <c r="C5" s="13">
        <f t="shared" ref="C5:G5" si="11">SUM(C7:C12)</f>
        <v>222120</v>
      </c>
      <c r="D5" s="13">
        <f t="shared" si="11"/>
        <v>16220</v>
      </c>
      <c r="E5" s="71">
        <f t="shared" si="1"/>
        <v>12.6942046855734</v>
      </c>
      <c r="F5" s="13">
        <f t="shared" si="11"/>
        <v>185</v>
      </c>
      <c r="G5" s="13">
        <f t="shared" si="11"/>
        <v>155</v>
      </c>
      <c r="H5" s="71">
        <f t="shared" si="2"/>
        <v>0.193548387096774</v>
      </c>
      <c r="I5" s="13">
        <f>SUM(I7:I12)</f>
        <v>222120</v>
      </c>
      <c r="J5" s="13">
        <f>SUM(J7:J12)</f>
        <v>16220</v>
      </c>
      <c r="K5" s="71">
        <f t="shared" si="3"/>
        <v>12.6942046855734</v>
      </c>
      <c r="L5" s="80"/>
      <c r="M5" s="79"/>
      <c r="N5" s="79"/>
      <c r="O5" s="74"/>
      <c r="P5" s="79"/>
      <c r="Q5" s="79"/>
      <c r="R5" s="74"/>
      <c r="S5" s="79"/>
      <c r="T5" s="79"/>
      <c r="U5" s="74"/>
    </row>
    <row r="6" ht="35" spans="1:21">
      <c r="A6" s="69"/>
      <c r="B6" s="70" t="s">
        <v>13</v>
      </c>
      <c r="C6" s="13">
        <f t="shared" ref="C6:G6" si="12">SUM(C13:C14)</f>
        <v>154040</v>
      </c>
      <c r="D6" s="13">
        <f t="shared" si="12"/>
        <v>2540</v>
      </c>
      <c r="E6" s="71">
        <f t="shared" si="1"/>
        <v>59.6456692913386</v>
      </c>
      <c r="F6" s="13">
        <f t="shared" si="12"/>
        <v>33</v>
      </c>
      <c r="G6" s="13">
        <f t="shared" si="12"/>
        <v>23</v>
      </c>
      <c r="H6" s="71">
        <f t="shared" si="2"/>
        <v>0.434782608695652</v>
      </c>
      <c r="I6" s="13">
        <f>SUM(I13:I14)</f>
        <v>154040</v>
      </c>
      <c r="J6" s="13">
        <f>SUM(J13:J14)</f>
        <v>2540</v>
      </c>
      <c r="K6" s="71">
        <f t="shared" si="3"/>
        <v>59.6456692913386</v>
      </c>
      <c r="L6" s="80"/>
      <c r="M6" s="73">
        <f t="shared" ref="M6:Q6" si="13">SUM(M8:M13)</f>
        <v>411435.6</v>
      </c>
      <c r="N6" s="73">
        <f t="shared" si="13"/>
        <v>0</v>
      </c>
      <c r="O6" s="74" t="e">
        <f t="shared" si="5"/>
        <v>#DIV/0!</v>
      </c>
      <c r="P6" s="73">
        <f t="shared" si="13"/>
        <v>2833.2</v>
      </c>
      <c r="Q6" s="73">
        <f t="shared" si="13"/>
        <v>0</v>
      </c>
      <c r="R6" s="74" t="e">
        <f t="shared" si="6"/>
        <v>#DIV/0!</v>
      </c>
      <c r="S6" s="73">
        <f>SUM(S8:S13)</f>
        <v>34605.215</v>
      </c>
      <c r="T6" s="73">
        <f>SUM(T8:T13)</f>
        <v>0</v>
      </c>
      <c r="U6" s="74" t="e">
        <f t="shared" si="7"/>
        <v>#DIV/0!</v>
      </c>
    </row>
    <row r="7" ht="120" spans="1:21">
      <c r="A7" s="81">
        <v>1</v>
      </c>
      <c r="B7" s="19" t="s">
        <v>14</v>
      </c>
      <c r="C7" s="82">
        <v>12020</v>
      </c>
      <c r="D7" s="82">
        <v>620</v>
      </c>
      <c r="E7" s="83" t="e">
        <f>(C117-D117)/ABS(D117)</f>
        <v>#DIV/0!</v>
      </c>
      <c r="F7" s="82">
        <v>120</v>
      </c>
      <c r="G7" s="82">
        <v>5</v>
      </c>
      <c r="H7" s="83" t="e">
        <f>(F117-G117)/ABS(G117)</f>
        <v>#DIV/0!</v>
      </c>
      <c r="I7" s="82">
        <v>12020</v>
      </c>
      <c r="J7" s="82">
        <v>620</v>
      </c>
      <c r="K7" s="83" t="e">
        <f>(I117-J117)/ABS(J117)</f>
        <v>#DIV/0!</v>
      </c>
      <c r="L7" s="84" t="s">
        <v>15</v>
      </c>
      <c r="M7" s="73"/>
      <c r="N7" s="73"/>
      <c r="O7" s="74" t="e">
        <f>(M117-N117)/ABS(N117)</f>
        <v>#DIV/0!</v>
      </c>
      <c r="P7" s="73"/>
      <c r="Q7" s="73"/>
      <c r="R7" s="73"/>
      <c r="S7" s="73"/>
      <c r="T7" s="73"/>
      <c r="U7" s="73"/>
    </row>
    <row r="8" ht="120" spans="1:21">
      <c r="A8" s="81">
        <v>2</v>
      </c>
      <c r="B8" s="85" t="s">
        <v>16</v>
      </c>
      <c r="C8" s="82">
        <v>22020</v>
      </c>
      <c r="D8" s="82">
        <v>720</v>
      </c>
      <c r="E8" s="83">
        <f t="shared" ref="E8:E16" si="14">(C8-D8)/ABS(D8)</f>
        <v>29.5833333333333</v>
      </c>
      <c r="F8" s="82">
        <v>11</v>
      </c>
      <c r="G8" s="82">
        <v>6</v>
      </c>
      <c r="H8" s="83">
        <f t="shared" ref="H8:H16" si="15">(F8-G8)/ABS(G8)</f>
        <v>0.833333333333333</v>
      </c>
      <c r="I8" s="82">
        <v>22020</v>
      </c>
      <c r="J8" s="82">
        <v>720</v>
      </c>
      <c r="K8" s="83">
        <f t="shared" ref="K8:K11" si="16">(I8-J8)/ABS(J8)</f>
        <v>29.5833333333333</v>
      </c>
      <c r="L8" s="84" t="s">
        <v>15</v>
      </c>
      <c r="M8" s="73">
        <v>26204.4</v>
      </c>
      <c r="N8" s="86"/>
      <c r="O8" s="74" t="e">
        <f t="shared" ref="O8:O16" si="17">(M8-N8)/ABS(N8)</f>
        <v>#DIV/0!</v>
      </c>
      <c r="P8" s="73">
        <v>246.6</v>
      </c>
      <c r="Q8" s="73"/>
      <c r="R8" s="73"/>
      <c r="S8" s="73">
        <v>7575.4</v>
      </c>
      <c r="T8" s="73"/>
      <c r="U8" s="73"/>
    </row>
    <row r="9" ht="120" spans="1:21">
      <c r="A9" s="81">
        <v>3</v>
      </c>
      <c r="B9" s="87" t="s">
        <v>17</v>
      </c>
      <c r="C9" s="82">
        <v>32020</v>
      </c>
      <c r="D9" s="82">
        <v>820</v>
      </c>
      <c r="E9" s="83">
        <f t="shared" si="14"/>
        <v>38.0487804878049</v>
      </c>
      <c r="F9" s="82">
        <v>12</v>
      </c>
      <c r="G9" s="82">
        <v>7</v>
      </c>
      <c r="H9" s="83">
        <f t="shared" si="15"/>
        <v>0.714285714285714</v>
      </c>
      <c r="I9" s="82">
        <v>32020</v>
      </c>
      <c r="J9" s="82">
        <v>820</v>
      </c>
      <c r="K9" s="83">
        <f t="shared" si="16"/>
        <v>38.0487804878049</v>
      </c>
      <c r="L9" s="84" t="s">
        <v>15</v>
      </c>
      <c r="M9" s="73">
        <v>362020.9</v>
      </c>
      <c r="N9" s="73"/>
      <c r="O9" s="74" t="e">
        <f t="shared" si="17"/>
        <v>#DIV/0!</v>
      </c>
      <c r="P9" s="73">
        <v>2181</v>
      </c>
      <c r="Q9" s="73"/>
      <c r="R9" s="73"/>
      <c r="S9" s="73">
        <v>19817</v>
      </c>
      <c r="T9" s="73"/>
      <c r="U9" s="73"/>
    </row>
    <row r="10" ht="120" spans="1:21">
      <c r="A10" s="81">
        <v>4</v>
      </c>
      <c r="B10" s="19" t="s">
        <v>18</v>
      </c>
      <c r="C10" s="82">
        <v>42020</v>
      </c>
      <c r="D10" s="82">
        <v>920</v>
      </c>
      <c r="E10" s="83">
        <f t="shared" si="14"/>
        <v>44.6739130434783</v>
      </c>
      <c r="F10" s="82">
        <v>13</v>
      </c>
      <c r="G10" s="82">
        <v>8</v>
      </c>
      <c r="H10" s="83">
        <f t="shared" si="15"/>
        <v>0.625</v>
      </c>
      <c r="I10" s="82">
        <v>42020</v>
      </c>
      <c r="J10" s="82">
        <v>920</v>
      </c>
      <c r="K10" s="83">
        <f t="shared" si="16"/>
        <v>44.6739130434783</v>
      </c>
      <c r="L10" s="84" t="s">
        <v>15</v>
      </c>
      <c r="M10" s="73">
        <v>22208</v>
      </c>
      <c r="N10" s="73"/>
      <c r="O10" s="74" t="e">
        <f t="shared" si="17"/>
        <v>#DIV/0!</v>
      </c>
      <c r="P10" s="73">
        <v>317</v>
      </c>
      <c r="Q10" s="73"/>
      <c r="R10" s="73"/>
      <c r="S10" s="73">
        <v>1859.7</v>
      </c>
      <c r="T10" s="73"/>
      <c r="U10" s="73"/>
    </row>
    <row r="11" ht="120" spans="1:21">
      <c r="A11" s="81">
        <v>5</v>
      </c>
      <c r="B11" s="19" t="s">
        <v>19</v>
      </c>
      <c r="C11" s="82">
        <v>52020</v>
      </c>
      <c r="D11" s="82">
        <v>12020</v>
      </c>
      <c r="E11" s="83">
        <f t="shared" si="14"/>
        <v>3.32778702163062</v>
      </c>
      <c r="F11" s="82">
        <v>14</v>
      </c>
      <c r="G11" s="82">
        <v>9</v>
      </c>
      <c r="H11" s="83">
        <f t="shared" si="15"/>
        <v>0.555555555555556</v>
      </c>
      <c r="I11" s="82">
        <v>52020</v>
      </c>
      <c r="J11" s="82">
        <v>12020</v>
      </c>
      <c r="K11" s="83">
        <f t="shared" si="16"/>
        <v>3.32778702163062</v>
      </c>
      <c r="L11" s="84" t="s">
        <v>15</v>
      </c>
      <c r="M11" s="73">
        <v>571.2</v>
      </c>
      <c r="N11" s="73"/>
      <c r="O11" s="74" t="e">
        <f t="shared" si="17"/>
        <v>#DIV/0!</v>
      </c>
      <c r="P11" s="73">
        <v>-556</v>
      </c>
      <c r="Q11" s="73"/>
      <c r="R11" s="73"/>
      <c r="S11" s="73">
        <v>4662.8</v>
      </c>
      <c r="T11" s="73"/>
      <c r="U11" s="73"/>
    </row>
    <row r="12" ht="120" spans="1:21">
      <c r="A12" s="88">
        <v>6</v>
      </c>
      <c r="B12" s="85" t="s">
        <v>20</v>
      </c>
      <c r="C12" s="82">
        <v>62020</v>
      </c>
      <c r="D12" s="82">
        <v>1120</v>
      </c>
      <c r="E12" s="83">
        <f t="shared" si="14"/>
        <v>54.375</v>
      </c>
      <c r="F12" s="82">
        <v>15</v>
      </c>
      <c r="G12" s="82">
        <v>120</v>
      </c>
      <c r="H12" s="83">
        <f t="shared" si="15"/>
        <v>-0.875</v>
      </c>
      <c r="I12" s="82">
        <v>62020</v>
      </c>
      <c r="J12" s="82">
        <v>1120</v>
      </c>
      <c r="K12" s="89" t="s">
        <v>21</v>
      </c>
      <c r="L12" s="84" t="s">
        <v>15</v>
      </c>
      <c r="M12" s="90">
        <v>87.8</v>
      </c>
      <c r="N12" s="91"/>
      <c r="O12" s="74" t="e">
        <f t="shared" si="17"/>
        <v>#DIV/0!</v>
      </c>
      <c r="P12" s="73">
        <v>320.3</v>
      </c>
      <c r="Q12" s="73"/>
      <c r="R12" s="73"/>
      <c r="S12" s="73">
        <v>34.215</v>
      </c>
      <c r="T12" s="92"/>
      <c r="U12" s="73"/>
    </row>
    <row r="13" ht="120" spans="1:21">
      <c r="A13" s="88">
        <v>7</v>
      </c>
      <c r="B13" s="85" t="s">
        <v>22</v>
      </c>
      <c r="C13" s="82">
        <v>72020</v>
      </c>
      <c r="D13" s="82">
        <v>1220</v>
      </c>
      <c r="E13" s="83">
        <f t="shared" si="14"/>
        <v>58.0327868852459</v>
      </c>
      <c r="F13" s="82">
        <v>16</v>
      </c>
      <c r="G13" s="82">
        <v>11</v>
      </c>
      <c r="H13" s="83">
        <f t="shared" si="15"/>
        <v>0.454545454545455</v>
      </c>
      <c r="I13" s="82">
        <v>72020</v>
      </c>
      <c r="J13" s="82">
        <v>1220</v>
      </c>
      <c r="K13" s="83">
        <f t="shared" ref="K13:K16" si="18">(I13-J13)/ABS(J13)</f>
        <v>58.0327868852459</v>
      </c>
      <c r="L13" s="84" t="s">
        <v>15</v>
      </c>
      <c r="M13" s="90">
        <v>343.3</v>
      </c>
      <c r="N13" s="73"/>
      <c r="O13" s="74" t="e">
        <f t="shared" si="17"/>
        <v>#DIV/0!</v>
      </c>
      <c r="P13" s="73">
        <v>324.3</v>
      </c>
      <c r="Q13" s="73"/>
      <c r="R13" s="73"/>
      <c r="S13" s="73">
        <v>656.1</v>
      </c>
      <c r="T13" s="73"/>
      <c r="U13" s="73"/>
    </row>
    <row r="14" ht="120" spans="1:21">
      <c r="A14" s="81">
        <v>8</v>
      </c>
      <c r="B14" s="85" t="s">
        <v>23</v>
      </c>
      <c r="C14" s="82">
        <v>82020</v>
      </c>
      <c r="D14" s="82">
        <v>1320</v>
      </c>
      <c r="E14" s="83">
        <f t="shared" si="14"/>
        <v>61.1363636363636</v>
      </c>
      <c r="F14" s="82">
        <v>17</v>
      </c>
      <c r="G14" s="82">
        <v>12</v>
      </c>
      <c r="H14" s="83">
        <f t="shared" si="15"/>
        <v>0.416666666666667</v>
      </c>
      <c r="I14" s="82">
        <v>82020</v>
      </c>
      <c r="J14" s="82">
        <v>1320</v>
      </c>
      <c r="K14" s="83">
        <f t="shared" si="18"/>
        <v>61.1363636363636</v>
      </c>
      <c r="L14" s="84" t="s">
        <v>15</v>
      </c>
      <c r="M14" s="73">
        <v>93</v>
      </c>
      <c r="N14" s="73"/>
      <c r="O14" s="74" t="e">
        <f t="shared" si="17"/>
        <v>#DIV/0!</v>
      </c>
      <c r="P14" s="73">
        <v>-6</v>
      </c>
      <c r="Q14" s="73"/>
      <c r="R14" s="73"/>
      <c r="S14" s="73">
        <v>364.3</v>
      </c>
      <c r="T14" s="73"/>
      <c r="U14" s="73"/>
    </row>
    <row r="15" ht="120" spans="1:21">
      <c r="A15" s="88">
        <v>9</v>
      </c>
      <c r="B15" s="85" t="s">
        <v>24</v>
      </c>
      <c r="C15" s="82">
        <v>92020</v>
      </c>
      <c r="D15" s="82">
        <v>1420</v>
      </c>
      <c r="E15" s="83">
        <f t="shared" si="14"/>
        <v>63.8028169014084</v>
      </c>
      <c r="F15" s="82">
        <v>18</v>
      </c>
      <c r="G15" s="82">
        <v>13</v>
      </c>
      <c r="H15" s="83">
        <f t="shared" si="15"/>
        <v>0.384615384615385</v>
      </c>
      <c r="I15" s="82">
        <v>92020</v>
      </c>
      <c r="J15" s="82">
        <v>1420</v>
      </c>
      <c r="K15" s="83">
        <f t="shared" si="18"/>
        <v>63.8028169014084</v>
      </c>
      <c r="L15" s="84" t="s">
        <v>15</v>
      </c>
      <c r="M15" s="93"/>
      <c r="N15" s="73"/>
      <c r="O15" s="74" t="e">
        <f t="shared" si="17"/>
        <v>#DIV/0!</v>
      </c>
      <c r="P15" s="73"/>
      <c r="Q15" s="73"/>
      <c r="R15" s="73"/>
      <c r="S15" s="73"/>
      <c r="T15" s="73"/>
      <c r="U15" s="73"/>
    </row>
    <row r="16" ht="120" spans="1:21">
      <c r="A16" s="88">
        <v>120</v>
      </c>
      <c r="B16" s="85" t="s">
        <v>25</v>
      </c>
      <c r="C16" s="82">
        <v>1202020</v>
      </c>
      <c r="D16" s="82">
        <v>1520</v>
      </c>
      <c r="E16" s="83">
        <f t="shared" si="14"/>
        <v>789.802631578947</v>
      </c>
      <c r="F16" s="82">
        <v>19</v>
      </c>
      <c r="G16" s="82">
        <v>14</v>
      </c>
      <c r="H16" s="83">
        <f t="shared" si="15"/>
        <v>0.357142857142857</v>
      </c>
      <c r="I16" s="82">
        <v>1202020</v>
      </c>
      <c r="J16" s="82">
        <v>1520</v>
      </c>
      <c r="K16" s="83">
        <f t="shared" si="18"/>
        <v>789.802631578947</v>
      </c>
      <c r="L16" s="84" t="s">
        <v>15</v>
      </c>
      <c r="M16" s="94">
        <v>1920.20418</v>
      </c>
      <c r="N16" s="93"/>
      <c r="O16" s="74" t="e">
        <f t="shared" si="17"/>
        <v>#DIV/0!</v>
      </c>
      <c r="P16" s="73"/>
      <c r="Q16" s="73"/>
      <c r="R16" s="73"/>
      <c r="S16" s="73"/>
      <c r="T16" s="73"/>
      <c r="U16" s="7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E8"/>
  <sheetViews>
    <sheetView workbookViewId="0">
      <selection activeCell="G17" sqref="G17"/>
    </sheetView>
  </sheetViews>
  <sheetFormatPr defaultColWidth="9" defaultRowHeight="14" outlineLevelRow="7" outlineLevelCol="4"/>
  <cols>
    <col min="1" max="3" width="9" style="57"/>
    <col min="4" max="4" width="44.1272727272727" style="57" customWidth="1"/>
    <col min="5" max="5" width="9.38181818181818" style="57" customWidth="1"/>
    <col min="6" max="16384" width="9" style="57"/>
  </cols>
  <sheetData>
    <row r="6" s="57" customFormat="1" spans="4:5">
      <c r="D6" s="57" t="s">
        <v>28</v>
      </c>
    </row>
    <row r="7" s="57" customFormat="1" ht="56" spans="4:5">
      <c r="D7" s="58" t="s">
        <v>29</v>
      </c>
      <c r="E7" s="59">
        <v>45456</v>
      </c>
    </row>
    <row r="8" s="57" customFormat="1" ht="70" spans="4:5">
      <c r="D8" s="60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6"/>
  <sheetViews>
    <sheetView workbookViewId="0">
      <selection activeCell="D19" sqref="D19"/>
    </sheetView>
  </sheetViews>
  <sheetFormatPr defaultColWidth="8.72727272727273" defaultRowHeight="14"/>
  <cols>
    <col min="1" max="1" width="10.3636363636364" customWidth="1"/>
    <col min="2" max="2" width="37.3636363636364" customWidth="1"/>
    <col min="3" max="4" width="15.3636363636364" customWidth="1"/>
    <col min="5" max="5" width="7.63636363636364" customWidth="1"/>
    <col min="6" max="6" width="13.5454545454545" customWidth="1"/>
    <col min="7" max="7" width="12.7272727272727" customWidth="1"/>
    <col min="8" max="8" width="7.63636363636364" customWidth="1"/>
    <col min="9" max="10" width="11.3636363636364" customWidth="1"/>
    <col min="11" max="11" width="7.63636363636364" customWidth="1"/>
  </cols>
  <sheetData>
    <row r="2" ht="23" spans="1:12">
      <c r="A2" s="37" t="s">
        <v>31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ht="15" spans="1:12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40"/>
    </row>
    <row r="4" ht="15" spans="1:12">
      <c r="A4" s="41" t="s">
        <v>32</v>
      </c>
      <c r="B4" s="42" t="s">
        <v>33</v>
      </c>
      <c r="C4" s="43" t="s">
        <v>34</v>
      </c>
      <c r="D4" s="44"/>
      <c r="E4" s="45"/>
      <c r="F4" s="43" t="s">
        <v>35</v>
      </c>
      <c r="G4" s="44"/>
      <c r="H4" s="45"/>
      <c r="I4" s="43" t="s">
        <v>36</v>
      </c>
      <c r="J4" s="44"/>
      <c r="K4" s="45"/>
      <c r="L4" s="46"/>
    </row>
    <row r="5" ht="30" spans="1:12">
      <c r="A5" s="41"/>
      <c r="B5" s="42"/>
      <c r="C5" s="47" t="s">
        <v>37</v>
      </c>
      <c r="D5" s="47" t="s">
        <v>38</v>
      </c>
      <c r="E5" s="48" t="s">
        <v>39</v>
      </c>
      <c r="F5" s="47" t="s">
        <v>37</v>
      </c>
      <c r="G5" s="47" t="s">
        <v>38</v>
      </c>
      <c r="H5" s="48" t="s">
        <v>39</v>
      </c>
      <c r="I5" s="47" t="s">
        <v>37</v>
      </c>
      <c r="J5" s="47" t="s">
        <v>38</v>
      </c>
      <c r="K5" s="48" t="s">
        <v>39</v>
      </c>
    </row>
    <row r="6" ht="15" spans="1:12">
      <c r="A6" s="49">
        <v>1</v>
      </c>
      <c r="B6" s="50" t="s">
        <v>14</v>
      </c>
      <c r="C6" s="51">
        <v>355498</v>
      </c>
      <c r="D6" s="51">
        <v>271874</v>
      </c>
      <c r="E6" s="52">
        <v>0.188174807197943</v>
      </c>
      <c r="F6" s="53">
        <v>97641</v>
      </c>
      <c r="G6" s="53">
        <v>68480</v>
      </c>
      <c r="H6" s="52">
        <f t="shared" ref="H6:H10" si="0">F6/G6-1</f>
        <v>0.425832359813084</v>
      </c>
      <c r="I6" s="51">
        <v>1637</v>
      </c>
      <c r="J6" s="51">
        <v>4721</v>
      </c>
      <c r="K6" s="52">
        <f t="shared" ref="K6:K10" si="1">I6/J6-1</f>
        <v>-0.653251429781826</v>
      </c>
    </row>
    <row r="7" ht="15" spans="1:12">
      <c r="A7" s="49">
        <v>2</v>
      </c>
      <c r="B7" s="50" t="s">
        <v>16</v>
      </c>
      <c r="C7" s="51">
        <v>265127</v>
      </c>
      <c r="D7" s="51">
        <v>108991</v>
      </c>
      <c r="E7" s="52">
        <f t="shared" ref="E7:E10" si="2">C7/D7-1</f>
        <v>1.43255865163179</v>
      </c>
      <c r="F7" s="53">
        <v>53574</v>
      </c>
      <c r="G7" s="53">
        <v>22419</v>
      </c>
      <c r="H7" s="52">
        <f t="shared" si="0"/>
        <v>1.38966947678309</v>
      </c>
      <c r="I7" s="51">
        <v>5658</v>
      </c>
      <c r="J7" s="51">
        <v>2239</v>
      </c>
      <c r="K7" s="52">
        <f t="shared" si="1"/>
        <v>1.52702099151407</v>
      </c>
    </row>
    <row r="8" ht="15" spans="1:12">
      <c r="A8" s="49">
        <v>3</v>
      </c>
      <c r="B8" s="50" t="s">
        <v>17</v>
      </c>
      <c r="C8" s="51">
        <v>256079</v>
      </c>
      <c r="D8" s="51">
        <v>236862</v>
      </c>
      <c r="E8" s="52">
        <f t="shared" si="2"/>
        <v>0.0811316293875759</v>
      </c>
      <c r="F8" s="53">
        <v>43826</v>
      </c>
      <c r="G8" s="53">
        <v>13563</v>
      </c>
      <c r="H8" s="52">
        <f t="shared" si="0"/>
        <v>2.23129101231291</v>
      </c>
      <c r="I8" s="51">
        <v>577</v>
      </c>
      <c r="J8" s="51">
        <v>2831</v>
      </c>
      <c r="K8" s="52">
        <f t="shared" si="1"/>
        <v>-0.796185093606499</v>
      </c>
    </row>
    <row r="9" ht="15" spans="1:12">
      <c r="A9" s="49">
        <v>4</v>
      </c>
      <c r="B9" s="50" t="s">
        <v>18</v>
      </c>
      <c r="C9" s="51">
        <v>69152</v>
      </c>
      <c r="D9" s="51">
        <v>71558</v>
      </c>
      <c r="E9" s="52">
        <f t="shared" si="2"/>
        <v>-0.0336230749881216</v>
      </c>
      <c r="F9" s="53">
        <v>18204</v>
      </c>
      <c r="G9" s="53">
        <v>23341</v>
      </c>
      <c r="H9" s="52">
        <f t="shared" si="0"/>
        <v>-0.220084829270383</v>
      </c>
      <c r="I9" s="51"/>
      <c r="J9" s="51">
        <v>5.5</v>
      </c>
      <c r="K9" s="52">
        <f t="shared" si="1"/>
        <v>-1</v>
      </c>
    </row>
    <row r="10" ht="15" spans="1:12">
      <c r="A10" s="49">
        <v>5</v>
      </c>
      <c r="B10" s="50" t="s">
        <v>19</v>
      </c>
      <c r="C10" s="51">
        <v>258130</v>
      </c>
      <c r="D10" s="51">
        <v>290071</v>
      </c>
      <c r="E10" s="52">
        <f t="shared" si="2"/>
        <v>-0.110114420262625</v>
      </c>
      <c r="F10" s="53">
        <v>82513</v>
      </c>
      <c r="G10" s="53">
        <v>95993</v>
      </c>
      <c r="H10" s="52">
        <f t="shared" si="0"/>
        <v>-0.140426906128572</v>
      </c>
      <c r="I10" s="51"/>
      <c r="J10" s="51">
        <v>85.7</v>
      </c>
      <c r="K10" s="52">
        <f t="shared" si="1"/>
        <v>-1</v>
      </c>
    </row>
    <row r="11" ht="15" spans="1:12">
      <c r="A11" s="49">
        <v>6</v>
      </c>
      <c r="B11" s="50" t="s">
        <v>20</v>
      </c>
      <c r="C11" s="51"/>
      <c r="D11" s="51"/>
      <c r="E11" s="52"/>
      <c r="F11" s="53"/>
      <c r="G11" s="53"/>
      <c r="H11" s="52"/>
      <c r="I11" s="51"/>
      <c r="J11" s="51"/>
      <c r="K11" s="52"/>
    </row>
    <row r="12" ht="15" spans="1:12">
      <c r="A12" s="49">
        <v>7</v>
      </c>
      <c r="B12" s="50" t="s">
        <v>22</v>
      </c>
      <c r="C12" s="51">
        <v>11153</v>
      </c>
      <c r="D12" s="51">
        <v>13223</v>
      </c>
      <c r="E12" s="52">
        <f>C12/D12-1</f>
        <v>-0.156545413295016</v>
      </c>
      <c r="F12" s="53">
        <v>3640</v>
      </c>
      <c r="G12" s="53">
        <v>3236</v>
      </c>
      <c r="H12" s="52">
        <f>F12/G12-1</f>
        <v>0.124845488257108</v>
      </c>
      <c r="I12" s="51">
        <v>102</v>
      </c>
      <c r="J12" s="51">
        <v>1356</v>
      </c>
      <c r="K12" s="52">
        <f>I12/J12-1</f>
        <v>-0.924778761061947</v>
      </c>
    </row>
    <row r="13" ht="15" spans="1:12">
      <c r="A13" s="49">
        <v>8</v>
      </c>
      <c r="B13" s="50" t="s">
        <v>23</v>
      </c>
      <c r="C13" s="51">
        <v>4622</v>
      </c>
      <c r="D13" s="51">
        <v>3890</v>
      </c>
      <c r="E13" s="52">
        <v>0.188174807197943</v>
      </c>
      <c r="F13" s="53">
        <v>1440</v>
      </c>
      <c r="G13" s="53">
        <v>1267</v>
      </c>
      <c r="H13" s="52">
        <v>0.136543014996054</v>
      </c>
      <c r="I13" s="51">
        <v>4</v>
      </c>
      <c r="J13" s="51">
        <v>14</v>
      </c>
      <c r="K13" s="52">
        <v>-0.714285714285714</v>
      </c>
    </row>
    <row r="14" ht="15" spans="1:12">
      <c r="A14" s="41" t="s">
        <v>40</v>
      </c>
      <c r="B14" s="42" t="s">
        <v>41</v>
      </c>
      <c r="C14" s="54">
        <f t="shared" ref="C14:G14" si="3">SUM(C6:C13)</f>
        <v>1219761</v>
      </c>
      <c r="D14" s="54">
        <f t="shared" si="3"/>
        <v>996469</v>
      </c>
      <c r="E14" s="55">
        <f>C14/D14-1</f>
        <v>0.224083237913071</v>
      </c>
      <c r="F14" s="56">
        <f t="shared" si="3"/>
        <v>300838</v>
      </c>
      <c r="G14" s="56">
        <f t="shared" si="3"/>
        <v>228299</v>
      </c>
      <c r="H14" s="55">
        <f>F14/G14-1</f>
        <v>0.317736827581373</v>
      </c>
      <c r="I14" s="54">
        <f>SUM(I6:I13)</f>
        <v>7978</v>
      </c>
      <c r="J14" s="54">
        <f>SUM(J6:J13)</f>
        <v>11252.2</v>
      </c>
      <c r="K14" s="55">
        <f>I14/J14-1</f>
        <v>-0.29098309663888</v>
      </c>
    </row>
    <row r="15" ht="15" spans="1:12">
      <c r="A15" s="41"/>
      <c r="B15" s="42" t="s">
        <v>41</v>
      </c>
      <c r="C15" s="54">
        <v>52750.919293</v>
      </c>
      <c r="D15" s="54">
        <v>65755.99</v>
      </c>
      <c r="E15" s="55">
        <v>-0.197777734119736</v>
      </c>
      <c r="F15" s="56">
        <v>25382.768604</v>
      </c>
      <c r="G15" s="56">
        <v>35182.119638</v>
      </c>
      <c r="H15" s="55">
        <v>-0.275689785999243</v>
      </c>
      <c r="I15" s="54">
        <v>5971.417486</v>
      </c>
      <c r="J15" s="54">
        <v>2253.703</v>
      </c>
      <c r="K15" s="55">
        <v>1.64960266991702</v>
      </c>
    </row>
    <row r="16" ht="15" spans="1:12">
      <c r="A16" s="41" t="s">
        <v>40</v>
      </c>
      <c r="B16" s="42" t="s">
        <v>42</v>
      </c>
      <c r="C16" s="54">
        <f t="shared" ref="C16:G16" si="4">C14+C15</f>
        <v>1272511.919293</v>
      </c>
      <c r="D16" s="54">
        <f t="shared" si="4"/>
        <v>1062224.99</v>
      </c>
      <c r="E16" s="42"/>
      <c r="F16" s="56">
        <f t="shared" si="4"/>
        <v>326220.768604</v>
      </c>
      <c r="G16" s="56">
        <f t="shared" si="4"/>
        <v>263481.119638</v>
      </c>
      <c r="H16" s="42"/>
      <c r="I16" s="54">
        <f>I14+I15</f>
        <v>13949.417486</v>
      </c>
      <c r="J16" s="54">
        <f>J14+J15</f>
        <v>13505.903</v>
      </c>
      <c r="K16" s="42"/>
    </row>
  </sheetData>
  <mergeCells count="5">
    <mergeCell ref="A2:L2"/>
    <mergeCell ref="C4:E4"/>
    <mergeCell ref="I4:K4"/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workbookViewId="0">
      <selection activeCell="G11" sqref="G11"/>
    </sheetView>
  </sheetViews>
  <sheetFormatPr defaultColWidth="13.6181818181818" defaultRowHeight="14"/>
  <cols>
    <col min="1" max="1" width="6.74545454545455" style="5" customWidth="1"/>
    <col min="2" max="2" width="38.3818181818182" style="5" customWidth="1"/>
    <col min="3" max="4" width="16.1272727272727" style="5" customWidth="1"/>
    <col min="5" max="5" width="15.2545454545455" style="5" customWidth="1"/>
    <col min="6" max="6" width="14.8727272727273" style="5" customWidth="1"/>
    <col min="7" max="7" width="14.3818181818182" style="5" customWidth="1"/>
    <col min="8" max="8" width="16" style="5" customWidth="1"/>
    <col min="9" max="9" width="18" style="5" customWidth="1"/>
    <col min="10" max="11" width="16" style="5" customWidth="1"/>
    <col min="12" max="12" width="36.5" style="5" customWidth="1"/>
    <col min="13" max="249" width="13.6181818181818" style="5"/>
    <col min="250" max="250" width="9.5" style="5" customWidth="1"/>
    <col min="251" max="251" width="39.6181818181818" style="5" customWidth="1"/>
    <col min="252" max="253" width="20.8727272727273" style="5" customWidth="1"/>
    <col min="254" max="254" width="14.3818181818182" style="5" customWidth="1"/>
    <col min="255" max="256" width="20.8727272727273" style="5" customWidth="1"/>
    <col min="257" max="257" width="14.3818181818182" style="5" customWidth="1"/>
    <col min="258" max="258" width="57" style="5" customWidth="1"/>
    <col min="259" max="263" width="12.6181818181818" style="5" customWidth="1"/>
    <col min="264" max="505" width="13.6181818181818" style="5"/>
    <col min="506" max="506" width="9.5" style="5" customWidth="1"/>
    <col min="507" max="507" width="39.6181818181818" style="5" customWidth="1"/>
    <col min="508" max="509" width="20.8727272727273" style="5" customWidth="1"/>
    <col min="510" max="510" width="14.3818181818182" style="5" customWidth="1"/>
    <col min="511" max="512" width="20.8727272727273" style="5" customWidth="1"/>
    <col min="513" max="513" width="14.3818181818182" style="5" customWidth="1"/>
    <col min="514" max="514" width="57" style="5" customWidth="1"/>
    <col min="515" max="519" width="12.6181818181818" style="5" customWidth="1"/>
    <col min="520" max="761" width="13.6181818181818" style="5"/>
    <col min="762" max="762" width="9.5" style="5" customWidth="1"/>
    <col min="763" max="763" width="39.6181818181818" style="5" customWidth="1"/>
    <col min="764" max="765" width="20.8727272727273" style="5" customWidth="1"/>
    <col min="766" max="766" width="14.3818181818182" style="5" customWidth="1"/>
    <col min="767" max="768" width="20.8727272727273" style="5" customWidth="1"/>
    <col min="769" max="769" width="14.3818181818182" style="5" customWidth="1"/>
    <col min="770" max="770" width="57" style="5" customWidth="1"/>
    <col min="771" max="775" width="12.6181818181818" style="5" customWidth="1"/>
    <col min="776" max="1017" width="13.6181818181818" style="5"/>
    <col min="1018" max="1018" width="9.5" style="5" customWidth="1"/>
    <col min="1019" max="1019" width="39.6181818181818" style="5" customWidth="1"/>
    <col min="1020" max="1021" width="20.8727272727273" style="5" customWidth="1"/>
    <col min="1022" max="1022" width="14.3818181818182" style="5" customWidth="1"/>
    <col min="1023" max="1024" width="20.8727272727273" style="5" customWidth="1"/>
    <col min="1025" max="1025" width="14.3818181818182" style="5" customWidth="1"/>
    <col min="1026" max="1026" width="57" style="5" customWidth="1"/>
    <col min="1027" max="1031" width="12.6181818181818" style="5" customWidth="1"/>
    <col min="1032" max="1273" width="13.6181818181818" style="5"/>
    <col min="1274" max="1274" width="9.5" style="5" customWidth="1"/>
    <col min="1275" max="1275" width="39.6181818181818" style="5" customWidth="1"/>
    <col min="1276" max="1277" width="20.8727272727273" style="5" customWidth="1"/>
    <col min="1278" max="1278" width="14.3818181818182" style="5" customWidth="1"/>
    <col min="1279" max="1280" width="20.8727272727273" style="5" customWidth="1"/>
    <col min="1281" max="1281" width="14.3818181818182" style="5" customWidth="1"/>
    <col min="1282" max="1282" width="57" style="5" customWidth="1"/>
    <col min="1283" max="1287" width="12.6181818181818" style="5" customWidth="1"/>
    <col min="1288" max="1529" width="13.6181818181818" style="5"/>
    <col min="1530" max="1530" width="9.5" style="5" customWidth="1"/>
    <col min="1531" max="1531" width="39.6181818181818" style="5" customWidth="1"/>
    <col min="1532" max="1533" width="20.8727272727273" style="5" customWidth="1"/>
    <col min="1534" max="1534" width="14.3818181818182" style="5" customWidth="1"/>
    <col min="1535" max="1536" width="20.8727272727273" style="5" customWidth="1"/>
    <col min="1537" max="1537" width="14.3818181818182" style="5" customWidth="1"/>
    <col min="1538" max="1538" width="57" style="5" customWidth="1"/>
    <col min="1539" max="1543" width="12.6181818181818" style="5" customWidth="1"/>
    <col min="1544" max="1785" width="13.6181818181818" style="5"/>
    <col min="1786" max="1786" width="9.5" style="5" customWidth="1"/>
    <col min="1787" max="1787" width="39.6181818181818" style="5" customWidth="1"/>
    <col min="1788" max="1789" width="20.8727272727273" style="5" customWidth="1"/>
    <col min="1790" max="1790" width="14.3818181818182" style="5" customWidth="1"/>
    <col min="1791" max="1792" width="20.8727272727273" style="5" customWidth="1"/>
    <col min="1793" max="1793" width="14.3818181818182" style="5" customWidth="1"/>
    <col min="1794" max="1794" width="57" style="5" customWidth="1"/>
    <col min="1795" max="1799" width="12.6181818181818" style="5" customWidth="1"/>
    <col min="1800" max="2041" width="13.6181818181818" style="5"/>
    <col min="2042" max="2042" width="9.5" style="5" customWidth="1"/>
    <col min="2043" max="2043" width="39.6181818181818" style="5" customWidth="1"/>
    <col min="2044" max="2045" width="20.8727272727273" style="5" customWidth="1"/>
    <col min="2046" max="2046" width="14.3818181818182" style="5" customWidth="1"/>
    <col min="2047" max="2048" width="20.8727272727273" style="5" customWidth="1"/>
    <col min="2049" max="2049" width="14.3818181818182" style="5" customWidth="1"/>
    <col min="2050" max="2050" width="57" style="5" customWidth="1"/>
    <col min="2051" max="2055" width="12.6181818181818" style="5" customWidth="1"/>
    <col min="2056" max="2297" width="13.6181818181818" style="5"/>
    <col min="2298" max="2298" width="9.5" style="5" customWidth="1"/>
    <col min="2299" max="2299" width="39.6181818181818" style="5" customWidth="1"/>
    <col min="2300" max="2301" width="20.8727272727273" style="5" customWidth="1"/>
    <col min="2302" max="2302" width="14.3818181818182" style="5" customWidth="1"/>
    <col min="2303" max="2304" width="20.8727272727273" style="5" customWidth="1"/>
    <col min="2305" max="2305" width="14.3818181818182" style="5" customWidth="1"/>
    <col min="2306" max="2306" width="57" style="5" customWidth="1"/>
    <col min="2307" max="2311" width="12.6181818181818" style="5" customWidth="1"/>
    <col min="2312" max="2553" width="13.6181818181818" style="5"/>
    <col min="2554" max="2554" width="9.5" style="5" customWidth="1"/>
    <col min="2555" max="2555" width="39.6181818181818" style="5" customWidth="1"/>
    <col min="2556" max="2557" width="20.8727272727273" style="5" customWidth="1"/>
    <col min="2558" max="2558" width="14.3818181818182" style="5" customWidth="1"/>
    <col min="2559" max="2560" width="20.8727272727273" style="5" customWidth="1"/>
    <col min="2561" max="2561" width="14.3818181818182" style="5" customWidth="1"/>
    <col min="2562" max="2562" width="57" style="5" customWidth="1"/>
    <col min="2563" max="2567" width="12.6181818181818" style="5" customWidth="1"/>
    <col min="2568" max="2809" width="13.6181818181818" style="5"/>
    <col min="2810" max="2810" width="9.5" style="5" customWidth="1"/>
    <col min="2811" max="2811" width="39.6181818181818" style="5" customWidth="1"/>
    <col min="2812" max="2813" width="20.8727272727273" style="5" customWidth="1"/>
    <col min="2814" max="2814" width="14.3818181818182" style="5" customWidth="1"/>
    <col min="2815" max="2816" width="20.8727272727273" style="5" customWidth="1"/>
    <col min="2817" max="2817" width="14.3818181818182" style="5" customWidth="1"/>
    <col min="2818" max="2818" width="57" style="5" customWidth="1"/>
    <col min="2819" max="2823" width="12.6181818181818" style="5" customWidth="1"/>
    <col min="2824" max="3065" width="13.6181818181818" style="5"/>
    <col min="3066" max="3066" width="9.5" style="5" customWidth="1"/>
    <col min="3067" max="3067" width="39.6181818181818" style="5" customWidth="1"/>
    <col min="3068" max="3069" width="20.8727272727273" style="5" customWidth="1"/>
    <col min="3070" max="3070" width="14.3818181818182" style="5" customWidth="1"/>
    <col min="3071" max="3072" width="20.8727272727273" style="5" customWidth="1"/>
    <col min="3073" max="3073" width="14.3818181818182" style="5" customWidth="1"/>
    <col min="3074" max="3074" width="57" style="5" customWidth="1"/>
    <col min="3075" max="3079" width="12.6181818181818" style="5" customWidth="1"/>
    <col min="3080" max="3321" width="13.6181818181818" style="5"/>
    <col min="3322" max="3322" width="9.5" style="5" customWidth="1"/>
    <col min="3323" max="3323" width="39.6181818181818" style="5" customWidth="1"/>
    <col min="3324" max="3325" width="20.8727272727273" style="5" customWidth="1"/>
    <col min="3326" max="3326" width="14.3818181818182" style="5" customWidth="1"/>
    <col min="3327" max="3328" width="20.8727272727273" style="5" customWidth="1"/>
    <col min="3329" max="3329" width="14.3818181818182" style="5" customWidth="1"/>
    <col min="3330" max="3330" width="57" style="5" customWidth="1"/>
    <col min="3331" max="3335" width="12.6181818181818" style="5" customWidth="1"/>
    <col min="3336" max="3577" width="13.6181818181818" style="5"/>
    <col min="3578" max="3578" width="9.5" style="5" customWidth="1"/>
    <col min="3579" max="3579" width="39.6181818181818" style="5" customWidth="1"/>
    <col min="3580" max="3581" width="20.8727272727273" style="5" customWidth="1"/>
    <col min="3582" max="3582" width="14.3818181818182" style="5" customWidth="1"/>
    <col min="3583" max="3584" width="20.8727272727273" style="5" customWidth="1"/>
    <col min="3585" max="3585" width="14.3818181818182" style="5" customWidth="1"/>
    <col min="3586" max="3586" width="57" style="5" customWidth="1"/>
    <col min="3587" max="3591" width="12.6181818181818" style="5" customWidth="1"/>
    <col min="3592" max="3833" width="13.6181818181818" style="5"/>
    <col min="3834" max="3834" width="9.5" style="5" customWidth="1"/>
    <col min="3835" max="3835" width="39.6181818181818" style="5" customWidth="1"/>
    <col min="3836" max="3837" width="20.8727272727273" style="5" customWidth="1"/>
    <col min="3838" max="3838" width="14.3818181818182" style="5" customWidth="1"/>
    <col min="3839" max="3840" width="20.8727272727273" style="5" customWidth="1"/>
    <col min="3841" max="3841" width="14.3818181818182" style="5" customWidth="1"/>
    <col min="3842" max="3842" width="57" style="5" customWidth="1"/>
    <col min="3843" max="3847" width="12.6181818181818" style="5" customWidth="1"/>
    <col min="3848" max="4089" width="13.6181818181818" style="5"/>
    <col min="4090" max="4090" width="9.5" style="5" customWidth="1"/>
    <col min="4091" max="4091" width="39.6181818181818" style="5" customWidth="1"/>
    <col min="4092" max="4093" width="20.8727272727273" style="5" customWidth="1"/>
    <col min="4094" max="4094" width="14.3818181818182" style="5" customWidth="1"/>
    <col min="4095" max="4096" width="20.8727272727273" style="5" customWidth="1"/>
    <col min="4097" max="4097" width="14.3818181818182" style="5" customWidth="1"/>
    <col min="4098" max="4098" width="57" style="5" customWidth="1"/>
    <col min="4099" max="4103" width="12.6181818181818" style="5" customWidth="1"/>
    <col min="4104" max="4345" width="13.6181818181818" style="5"/>
    <col min="4346" max="4346" width="9.5" style="5" customWidth="1"/>
    <col min="4347" max="4347" width="39.6181818181818" style="5" customWidth="1"/>
    <col min="4348" max="4349" width="20.8727272727273" style="5" customWidth="1"/>
    <col min="4350" max="4350" width="14.3818181818182" style="5" customWidth="1"/>
    <col min="4351" max="4352" width="20.8727272727273" style="5" customWidth="1"/>
    <col min="4353" max="4353" width="14.3818181818182" style="5" customWidth="1"/>
    <col min="4354" max="4354" width="57" style="5" customWidth="1"/>
    <col min="4355" max="4359" width="12.6181818181818" style="5" customWidth="1"/>
    <col min="4360" max="4601" width="13.6181818181818" style="5"/>
    <col min="4602" max="4602" width="9.5" style="5" customWidth="1"/>
    <col min="4603" max="4603" width="39.6181818181818" style="5" customWidth="1"/>
    <col min="4604" max="4605" width="20.8727272727273" style="5" customWidth="1"/>
    <col min="4606" max="4606" width="14.3818181818182" style="5" customWidth="1"/>
    <col min="4607" max="4608" width="20.8727272727273" style="5" customWidth="1"/>
    <col min="4609" max="4609" width="14.3818181818182" style="5" customWidth="1"/>
    <col min="4610" max="4610" width="57" style="5" customWidth="1"/>
    <col min="4611" max="4615" width="12.6181818181818" style="5" customWidth="1"/>
    <col min="4616" max="4857" width="13.6181818181818" style="5"/>
    <col min="4858" max="4858" width="9.5" style="5" customWidth="1"/>
    <col min="4859" max="4859" width="39.6181818181818" style="5" customWidth="1"/>
    <col min="4860" max="4861" width="20.8727272727273" style="5" customWidth="1"/>
    <col min="4862" max="4862" width="14.3818181818182" style="5" customWidth="1"/>
    <col min="4863" max="4864" width="20.8727272727273" style="5" customWidth="1"/>
    <col min="4865" max="4865" width="14.3818181818182" style="5" customWidth="1"/>
    <col min="4866" max="4866" width="57" style="5" customWidth="1"/>
    <col min="4867" max="4871" width="12.6181818181818" style="5" customWidth="1"/>
    <col min="4872" max="5113" width="13.6181818181818" style="5"/>
    <col min="5114" max="5114" width="9.5" style="5" customWidth="1"/>
    <col min="5115" max="5115" width="39.6181818181818" style="5" customWidth="1"/>
    <col min="5116" max="5117" width="20.8727272727273" style="5" customWidth="1"/>
    <col min="5118" max="5118" width="14.3818181818182" style="5" customWidth="1"/>
    <col min="5119" max="5120" width="20.8727272727273" style="5" customWidth="1"/>
    <col min="5121" max="5121" width="14.3818181818182" style="5" customWidth="1"/>
    <col min="5122" max="5122" width="57" style="5" customWidth="1"/>
    <col min="5123" max="5127" width="12.6181818181818" style="5" customWidth="1"/>
    <col min="5128" max="5369" width="13.6181818181818" style="5"/>
    <col min="5370" max="5370" width="9.5" style="5" customWidth="1"/>
    <col min="5371" max="5371" width="39.6181818181818" style="5" customWidth="1"/>
    <col min="5372" max="5373" width="20.8727272727273" style="5" customWidth="1"/>
    <col min="5374" max="5374" width="14.3818181818182" style="5" customWidth="1"/>
    <col min="5375" max="5376" width="20.8727272727273" style="5" customWidth="1"/>
    <col min="5377" max="5377" width="14.3818181818182" style="5" customWidth="1"/>
    <col min="5378" max="5378" width="57" style="5" customWidth="1"/>
    <col min="5379" max="5383" width="12.6181818181818" style="5" customWidth="1"/>
    <col min="5384" max="5625" width="13.6181818181818" style="5"/>
    <col min="5626" max="5626" width="9.5" style="5" customWidth="1"/>
    <col min="5627" max="5627" width="39.6181818181818" style="5" customWidth="1"/>
    <col min="5628" max="5629" width="20.8727272727273" style="5" customWidth="1"/>
    <col min="5630" max="5630" width="14.3818181818182" style="5" customWidth="1"/>
    <col min="5631" max="5632" width="20.8727272727273" style="5" customWidth="1"/>
    <col min="5633" max="5633" width="14.3818181818182" style="5" customWidth="1"/>
    <col min="5634" max="5634" width="57" style="5" customWidth="1"/>
    <col min="5635" max="5639" width="12.6181818181818" style="5" customWidth="1"/>
    <col min="5640" max="5881" width="13.6181818181818" style="5"/>
    <col min="5882" max="5882" width="9.5" style="5" customWidth="1"/>
    <col min="5883" max="5883" width="39.6181818181818" style="5" customWidth="1"/>
    <col min="5884" max="5885" width="20.8727272727273" style="5" customWidth="1"/>
    <col min="5886" max="5886" width="14.3818181818182" style="5" customWidth="1"/>
    <col min="5887" max="5888" width="20.8727272727273" style="5" customWidth="1"/>
    <col min="5889" max="5889" width="14.3818181818182" style="5" customWidth="1"/>
    <col min="5890" max="5890" width="57" style="5" customWidth="1"/>
    <col min="5891" max="5895" width="12.6181818181818" style="5" customWidth="1"/>
    <col min="5896" max="6137" width="13.6181818181818" style="5"/>
    <col min="6138" max="6138" width="9.5" style="5" customWidth="1"/>
    <col min="6139" max="6139" width="39.6181818181818" style="5" customWidth="1"/>
    <col min="6140" max="6141" width="20.8727272727273" style="5" customWidth="1"/>
    <col min="6142" max="6142" width="14.3818181818182" style="5" customWidth="1"/>
    <col min="6143" max="6144" width="20.8727272727273" style="5" customWidth="1"/>
    <col min="6145" max="6145" width="14.3818181818182" style="5" customWidth="1"/>
    <col min="6146" max="6146" width="57" style="5" customWidth="1"/>
    <col min="6147" max="6151" width="12.6181818181818" style="5" customWidth="1"/>
    <col min="6152" max="6393" width="13.6181818181818" style="5"/>
    <col min="6394" max="6394" width="9.5" style="5" customWidth="1"/>
    <col min="6395" max="6395" width="39.6181818181818" style="5" customWidth="1"/>
    <col min="6396" max="6397" width="20.8727272727273" style="5" customWidth="1"/>
    <col min="6398" max="6398" width="14.3818181818182" style="5" customWidth="1"/>
    <col min="6399" max="6400" width="20.8727272727273" style="5" customWidth="1"/>
    <col min="6401" max="6401" width="14.3818181818182" style="5" customWidth="1"/>
    <col min="6402" max="6402" width="57" style="5" customWidth="1"/>
    <col min="6403" max="6407" width="12.6181818181818" style="5" customWidth="1"/>
    <col min="6408" max="6649" width="13.6181818181818" style="5"/>
    <col min="6650" max="6650" width="9.5" style="5" customWidth="1"/>
    <col min="6651" max="6651" width="39.6181818181818" style="5" customWidth="1"/>
    <col min="6652" max="6653" width="20.8727272727273" style="5" customWidth="1"/>
    <col min="6654" max="6654" width="14.3818181818182" style="5" customWidth="1"/>
    <col min="6655" max="6656" width="20.8727272727273" style="5" customWidth="1"/>
    <col min="6657" max="6657" width="14.3818181818182" style="5" customWidth="1"/>
    <col min="6658" max="6658" width="57" style="5" customWidth="1"/>
    <col min="6659" max="6663" width="12.6181818181818" style="5" customWidth="1"/>
    <col min="6664" max="6905" width="13.6181818181818" style="5"/>
    <col min="6906" max="6906" width="9.5" style="5" customWidth="1"/>
    <col min="6907" max="6907" width="39.6181818181818" style="5" customWidth="1"/>
    <col min="6908" max="6909" width="20.8727272727273" style="5" customWidth="1"/>
    <col min="6910" max="6910" width="14.3818181818182" style="5" customWidth="1"/>
    <col min="6911" max="6912" width="20.8727272727273" style="5" customWidth="1"/>
    <col min="6913" max="6913" width="14.3818181818182" style="5" customWidth="1"/>
    <col min="6914" max="6914" width="57" style="5" customWidth="1"/>
    <col min="6915" max="6919" width="12.6181818181818" style="5" customWidth="1"/>
    <col min="6920" max="7161" width="13.6181818181818" style="5"/>
    <col min="7162" max="7162" width="9.5" style="5" customWidth="1"/>
    <col min="7163" max="7163" width="39.6181818181818" style="5" customWidth="1"/>
    <col min="7164" max="7165" width="20.8727272727273" style="5" customWidth="1"/>
    <col min="7166" max="7166" width="14.3818181818182" style="5" customWidth="1"/>
    <col min="7167" max="7168" width="20.8727272727273" style="5" customWidth="1"/>
    <col min="7169" max="7169" width="14.3818181818182" style="5" customWidth="1"/>
    <col min="7170" max="7170" width="57" style="5" customWidth="1"/>
    <col min="7171" max="7175" width="12.6181818181818" style="5" customWidth="1"/>
    <col min="7176" max="7417" width="13.6181818181818" style="5"/>
    <col min="7418" max="7418" width="9.5" style="5" customWidth="1"/>
    <col min="7419" max="7419" width="39.6181818181818" style="5" customWidth="1"/>
    <col min="7420" max="7421" width="20.8727272727273" style="5" customWidth="1"/>
    <col min="7422" max="7422" width="14.3818181818182" style="5" customWidth="1"/>
    <col min="7423" max="7424" width="20.8727272727273" style="5" customWidth="1"/>
    <col min="7425" max="7425" width="14.3818181818182" style="5" customWidth="1"/>
    <col min="7426" max="7426" width="57" style="5" customWidth="1"/>
    <col min="7427" max="7431" width="12.6181818181818" style="5" customWidth="1"/>
    <col min="7432" max="7673" width="13.6181818181818" style="5"/>
    <col min="7674" max="7674" width="9.5" style="5" customWidth="1"/>
    <col min="7675" max="7675" width="39.6181818181818" style="5" customWidth="1"/>
    <col min="7676" max="7677" width="20.8727272727273" style="5" customWidth="1"/>
    <col min="7678" max="7678" width="14.3818181818182" style="5" customWidth="1"/>
    <col min="7679" max="7680" width="20.8727272727273" style="5" customWidth="1"/>
    <col min="7681" max="7681" width="14.3818181818182" style="5" customWidth="1"/>
    <col min="7682" max="7682" width="57" style="5" customWidth="1"/>
    <col min="7683" max="7687" width="12.6181818181818" style="5" customWidth="1"/>
    <col min="7688" max="7929" width="13.6181818181818" style="5"/>
    <col min="7930" max="7930" width="9.5" style="5" customWidth="1"/>
    <col min="7931" max="7931" width="39.6181818181818" style="5" customWidth="1"/>
    <col min="7932" max="7933" width="20.8727272727273" style="5" customWidth="1"/>
    <col min="7934" max="7934" width="14.3818181818182" style="5" customWidth="1"/>
    <col min="7935" max="7936" width="20.8727272727273" style="5" customWidth="1"/>
    <col min="7937" max="7937" width="14.3818181818182" style="5" customWidth="1"/>
    <col min="7938" max="7938" width="57" style="5" customWidth="1"/>
    <col min="7939" max="7943" width="12.6181818181818" style="5" customWidth="1"/>
    <col min="7944" max="8185" width="13.6181818181818" style="5"/>
    <col min="8186" max="8186" width="9.5" style="5" customWidth="1"/>
    <col min="8187" max="8187" width="39.6181818181818" style="5" customWidth="1"/>
    <col min="8188" max="8189" width="20.8727272727273" style="5" customWidth="1"/>
    <col min="8190" max="8190" width="14.3818181818182" style="5" customWidth="1"/>
    <col min="8191" max="8192" width="20.8727272727273" style="5" customWidth="1"/>
    <col min="8193" max="8193" width="14.3818181818182" style="5" customWidth="1"/>
    <col min="8194" max="8194" width="57" style="5" customWidth="1"/>
    <col min="8195" max="8199" width="12.6181818181818" style="5" customWidth="1"/>
    <col min="8200" max="8441" width="13.6181818181818" style="5"/>
    <col min="8442" max="8442" width="9.5" style="5" customWidth="1"/>
    <col min="8443" max="8443" width="39.6181818181818" style="5" customWidth="1"/>
    <col min="8444" max="8445" width="20.8727272727273" style="5" customWidth="1"/>
    <col min="8446" max="8446" width="14.3818181818182" style="5" customWidth="1"/>
    <col min="8447" max="8448" width="20.8727272727273" style="5" customWidth="1"/>
    <col min="8449" max="8449" width="14.3818181818182" style="5" customWidth="1"/>
    <col min="8450" max="8450" width="57" style="5" customWidth="1"/>
    <col min="8451" max="8455" width="12.6181818181818" style="5" customWidth="1"/>
    <col min="8456" max="8697" width="13.6181818181818" style="5"/>
    <col min="8698" max="8698" width="9.5" style="5" customWidth="1"/>
    <col min="8699" max="8699" width="39.6181818181818" style="5" customWidth="1"/>
    <col min="8700" max="8701" width="20.8727272727273" style="5" customWidth="1"/>
    <col min="8702" max="8702" width="14.3818181818182" style="5" customWidth="1"/>
    <col min="8703" max="8704" width="20.8727272727273" style="5" customWidth="1"/>
    <col min="8705" max="8705" width="14.3818181818182" style="5" customWidth="1"/>
    <col min="8706" max="8706" width="57" style="5" customWidth="1"/>
    <col min="8707" max="8711" width="12.6181818181818" style="5" customWidth="1"/>
    <col min="8712" max="8953" width="13.6181818181818" style="5"/>
    <col min="8954" max="8954" width="9.5" style="5" customWidth="1"/>
    <col min="8955" max="8955" width="39.6181818181818" style="5" customWidth="1"/>
    <col min="8956" max="8957" width="20.8727272727273" style="5" customWidth="1"/>
    <col min="8958" max="8958" width="14.3818181818182" style="5" customWidth="1"/>
    <col min="8959" max="8960" width="20.8727272727273" style="5" customWidth="1"/>
    <col min="8961" max="8961" width="14.3818181818182" style="5" customWidth="1"/>
    <col min="8962" max="8962" width="57" style="5" customWidth="1"/>
    <col min="8963" max="8967" width="12.6181818181818" style="5" customWidth="1"/>
    <col min="8968" max="9209" width="13.6181818181818" style="5"/>
    <col min="9210" max="9210" width="9.5" style="5" customWidth="1"/>
    <col min="9211" max="9211" width="39.6181818181818" style="5" customWidth="1"/>
    <col min="9212" max="9213" width="20.8727272727273" style="5" customWidth="1"/>
    <col min="9214" max="9214" width="14.3818181818182" style="5" customWidth="1"/>
    <col min="9215" max="9216" width="20.8727272727273" style="5" customWidth="1"/>
    <col min="9217" max="9217" width="14.3818181818182" style="5" customWidth="1"/>
    <col min="9218" max="9218" width="57" style="5" customWidth="1"/>
    <col min="9219" max="9223" width="12.6181818181818" style="5" customWidth="1"/>
    <col min="9224" max="9465" width="13.6181818181818" style="5"/>
    <col min="9466" max="9466" width="9.5" style="5" customWidth="1"/>
    <col min="9467" max="9467" width="39.6181818181818" style="5" customWidth="1"/>
    <col min="9468" max="9469" width="20.8727272727273" style="5" customWidth="1"/>
    <col min="9470" max="9470" width="14.3818181818182" style="5" customWidth="1"/>
    <col min="9471" max="9472" width="20.8727272727273" style="5" customWidth="1"/>
    <col min="9473" max="9473" width="14.3818181818182" style="5" customWidth="1"/>
    <col min="9474" max="9474" width="57" style="5" customWidth="1"/>
    <col min="9475" max="9479" width="12.6181818181818" style="5" customWidth="1"/>
    <col min="9480" max="9721" width="13.6181818181818" style="5"/>
    <col min="9722" max="9722" width="9.5" style="5" customWidth="1"/>
    <col min="9723" max="9723" width="39.6181818181818" style="5" customWidth="1"/>
    <col min="9724" max="9725" width="20.8727272727273" style="5" customWidth="1"/>
    <col min="9726" max="9726" width="14.3818181818182" style="5" customWidth="1"/>
    <col min="9727" max="9728" width="20.8727272727273" style="5" customWidth="1"/>
    <col min="9729" max="9729" width="14.3818181818182" style="5" customWidth="1"/>
    <col min="9730" max="9730" width="57" style="5" customWidth="1"/>
    <col min="9731" max="9735" width="12.6181818181818" style="5" customWidth="1"/>
    <col min="9736" max="9977" width="13.6181818181818" style="5"/>
    <col min="9978" max="9978" width="9.5" style="5" customWidth="1"/>
    <col min="9979" max="9979" width="39.6181818181818" style="5" customWidth="1"/>
    <col min="9980" max="9981" width="20.8727272727273" style="5" customWidth="1"/>
    <col min="9982" max="9982" width="14.3818181818182" style="5" customWidth="1"/>
    <col min="9983" max="9984" width="20.8727272727273" style="5" customWidth="1"/>
    <col min="9985" max="9985" width="14.3818181818182" style="5" customWidth="1"/>
    <col min="9986" max="9986" width="57" style="5" customWidth="1"/>
    <col min="9987" max="9991" width="12.6181818181818" style="5" customWidth="1"/>
    <col min="9992" max="10233" width="13.6181818181818" style="5"/>
    <col min="10234" max="10234" width="9.5" style="5" customWidth="1"/>
    <col min="10235" max="10235" width="39.6181818181818" style="5" customWidth="1"/>
    <col min="10236" max="10237" width="20.8727272727273" style="5" customWidth="1"/>
    <col min="10238" max="10238" width="14.3818181818182" style="5" customWidth="1"/>
    <col min="10239" max="10240" width="20.8727272727273" style="5" customWidth="1"/>
    <col min="10241" max="10241" width="14.3818181818182" style="5" customWidth="1"/>
    <col min="10242" max="10242" width="57" style="5" customWidth="1"/>
    <col min="10243" max="10247" width="12.6181818181818" style="5" customWidth="1"/>
    <col min="10248" max="10489" width="13.6181818181818" style="5"/>
    <col min="10490" max="10490" width="9.5" style="5" customWidth="1"/>
    <col min="10491" max="10491" width="39.6181818181818" style="5" customWidth="1"/>
    <col min="10492" max="10493" width="20.8727272727273" style="5" customWidth="1"/>
    <col min="10494" max="10494" width="14.3818181818182" style="5" customWidth="1"/>
    <col min="10495" max="10496" width="20.8727272727273" style="5" customWidth="1"/>
    <col min="10497" max="10497" width="14.3818181818182" style="5" customWidth="1"/>
    <col min="10498" max="10498" width="57" style="5" customWidth="1"/>
    <col min="10499" max="10503" width="12.6181818181818" style="5" customWidth="1"/>
    <col min="10504" max="10745" width="13.6181818181818" style="5"/>
    <col min="10746" max="10746" width="9.5" style="5" customWidth="1"/>
    <col min="10747" max="10747" width="39.6181818181818" style="5" customWidth="1"/>
    <col min="10748" max="10749" width="20.8727272727273" style="5" customWidth="1"/>
    <col min="10750" max="10750" width="14.3818181818182" style="5" customWidth="1"/>
    <col min="10751" max="10752" width="20.8727272727273" style="5" customWidth="1"/>
    <col min="10753" max="10753" width="14.3818181818182" style="5" customWidth="1"/>
    <col min="10754" max="10754" width="57" style="5" customWidth="1"/>
    <col min="10755" max="10759" width="12.6181818181818" style="5" customWidth="1"/>
    <col min="10760" max="11001" width="13.6181818181818" style="5"/>
    <col min="11002" max="11002" width="9.5" style="5" customWidth="1"/>
    <col min="11003" max="11003" width="39.6181818181818" style="5" customWidth="1"/>
    <col min="11004" max="11005" width="20.8727272727273" style="5" customWidth="1"/>
    <col min="11006" max="11006" width="14.3818181818182" style="5" customWidth="1"/>
    <col min="11007" max="11008" width="20.8727272727273" style="5" customWidth="1"/>
    <col min="11009" max="11009" width="14.3818181818182" style="5" customWidth="1"/>
    <col min="11010" max="11010" width="57" style="5" customWidth="1"/>
    <col min="11011" max="11015" width="12.6181818181818" style="5" customWidth="1"/>
    <col min="11016" max="11257" width="13.6181818181818" style="5"/>
    <col min="11258" max="11258" width="9.5" style="5" customWidth="1"/>
    <col min="11259" max="11259" width="39.6181818181818" style="5" customWidth="1"/>
    <col min="11260" max="11261" width="20.8727272727273" style="5" customWidth="1"/>
    <col min="11262" max="11262" width="14.3818181818182" style="5" customWidth="1"/>
    <col min="11263" max="11264" width="20.8727272727273" style="5" customWidth="1"/>
    <col min="11265" max="11265" width="14.3818181818182" style="5" customWidth="1"/>
    <col min="11266" max="11266" width="57" style="5" customWidth="1"/>
    <col min="11267" max="11271" width="12.6181818181818" style="5" customWidth="1"/>
    <col min="11272" max="11513" width="13.6181818181818" style="5"/>
    <col min="11514" max="11514" width="9.5" style="5" customWidth="1"/>
    <col min="11515" max="11515" width="39.6181818181818" style="5" customWidth="1"/>
    <col min="11516" max="11517" width="20.8727272727273" style="5" customWidth="1"/>
    <col min="11518" max="11518" width="14.3818181818182" style="5" customWidth="1"/>
    <col min="11519" max="11520" width="20.8727272727273" style="5" customWidth="1"/>
    <col min="11521" max="11521" width="14.3818181818182" style="5" customWidth="1"/>
    <col min="11522" max="11522" width="57" style="5" customWidth="1"/>
    <col min="11523" max="11527" width="12.6181818181818" style="5" customWidth="1"/>
    <col min="11528" max="11769" width="13.6181818181818" style="5"/>
    <col min="11770" max="11770" width="9.5" style="5" customWidth="1"/>
    <col min="11771" max="11771" width="39.6181818181818" style="5" customWidth="1"/>
    <col min="11772" max="11773" width="20.8727272727273" style="5" customWidth="1"/>
    <col min="11774" max="11774" width="14.3818181818182" style="5" customWidth="1"/>
    <col min="11775" max="11776" width="20.8727272727273" style="5" customWidth="1"/>
    <col min="11777" max="11777" width="14.3818181818182" style="5" customWidth="1"/>
    <col min="11778" max="11778" width="57" style="5" customWidth="1"/>
    <col min="11779" max="11783" width="12.6181818181818" style="5" customWidth="1"/>
    <col min="11784" max="12025" width="13.6181818181818" style="5"/>
    <col min="12026" max="12026" width="9.5" style="5" customWidth="1"/>
    <col min="12027" max="12027" width="39.6181818181818" style="5" customWidth="1"/>
    <col min="12028" max="12029" width="20.8727272727273" style="5" customWidth="1"/>
    <col min="12030" max="12030" width="14.3818181818182" style="5" customWidth="1"/>
    <col min="12031" max="12032" width="20.8727272727273" style="5" customWidth="1"/>
    <col min="12033" max="12033" width="14.3818181818182" style="5" customWidth="1"/>
    <col min="12034" max="12034" width="57" style="5" customWidth="1"/>
    <col min="12035" max="12039" width="12.6181818181818" style="5" customWidth="1"/>
    <col min="12040" max="12281" width="13.6181818181818" style="5"/>
    <col min="12282" max="12282" width="9.5" style="5" customWidth="1"/>
    <col min="12283" max="12283" width="39.6181818181818" style="5" customWidth="1"/>
    <col min="12284" max="12285" width="20.8727272727273" style="5" customWidth="1"/>
    <col min="12286" max="12286" width="14.3818181818182" style="5" customWidth="1"/>
    <col min="12287" max="12288" width="20.8727272727273" style="5" customWidth="1"/>
    <col min="12289" max="12289" width="14.3818181818182" style="5" customWidth="1"/>
    <col min="12290" max="12290" width="57" style="5" customWidth="1"/>
    <col min="12291" max="12295" width="12.6181818181818" style="5" customWidth="1"/>
    <col min="12296" max="12537" width="13.6181818181818" style="5"/>
    <col min="12538" max="12538" width="9.5" style="5" customWidth="1"/>
    <col min="12539" max="12539" width="39.6181818181818" style="5" customWidth="1"/>
    <col min="12540" max="12541" width="20.8727272727273" style="5" customWidth="1"/>
    <col min="12542" max="12542" width="14.3818181818182" style="5" customWidth="1"/>
    <col min="12543" max="12544" width="20.8727272727273" style="5" customWidth="1"/>
    <col min="12545" max="12545" width="14.3818181818182" style="5" customWidth="1"/>
    <col min="12546" max="12546" width="57" style="5" customWidth="1"/>
    <col min="12547" max="12551" width="12.6181818181818" style="5" customWidth="1"/>
    <col min="12552" max="12793" width="13.6181818181818" style="5"/>
    <col min="12794" max="12794" width="9.5" style="5" customWidth="1"/>
    <col min="12795" max="12795" width="39.6181818181818" style="5" customWidth="1"/>
    <col min="12796" max="12797" width="20.8727272727273" style="5" customWidth="1"/>
    <col min="12798" max="12798" width="14.3818181818182" style="5" customWidth="1"/>
    <col min="12799" max="12800" width="20.8727272727273" style="5" customWidth="1"/>
    <col min="12801" max="12801" width="14.3818181818182" style="5" customWidth="1"/>
    <col min="12802" max="12802" width="57" style="5" customWidth="1"/>
    <col min="12803" max="12807" width="12.6181818181818" style="5" customWidth="1"/>
    <col min="12808" max="13049" width="13.6181818181818" style="5"/>
    <col min="13050" max="13050" width="9.5" style="5" customWidth="1"/>
    <col min="13051" max="13051" width="39.6181818181818" style="5" customWidth="1"/>
    <col min="13052" max="13053" width="20.8727272727273" style="5" customWidth="1"/>
    <col min="13054" max="13054" width="14.3818181818182" style="5" customWidth="1"/>
    <col min="13055" max="13056" width="20.8727272727273" style="5" customWidth="1"/>
    <col min="13057" max="13057" width="14.3818181818182" style="5" customWidth="1"/>
    <col min="13058" max="13058" width="57" style="5" customWidth="1"/>
    <col min="13059" max="13063" width="12.6181818181818" style="5" customWidth="1"/>
    <col min="13064" max="13305" width="13.6181818181818" style="5"/>
    <col min="13306" max="13306" width="9.5" style="5" customWidth="1"/>
    <col min="13307" max="13307" width="39.6181818181818" style="5" customWidth="1"/>
    <col min="13308" max="13309" width="20.8727272727273" style="5" customWidth="1"/>
    <col min="13310" max="13310" width="14.3818181818182" style="5" customWidth="1"/>
    <col min="13311" max="13312" width="20.8727272727273" style="5" customWidth="1"/>
    <col min="13313" max="13313" width="14.3818181818182" style="5" customWidth="1"/>
    <col min="13314" max="13314" width="57" style="5" customWidth="1"/>
    <col min="13315" max="13319" width="12.6181818181818" style="5" customWidth="1"/>
    <col min="13320" max="13561" width="13.6181818181818" style="5"/>
    <col min="13562" max="13562" width="9.5" style="5" customWidth="1"/>
    <col min="13563" max="13563" width="39.6181818181818" style="5" customWidth="1"/>
    <col min="13564" max="13565" width="20.8727272727273" style="5" customWidth="1"/>
    <col min="13566" max="13566" width="14.3818181818182" style="5" customWidth="1"/>
    <col min="13567" max="13568" width="20.8727272727273" style="5" customWidth="1"/>
    <col min="13569" max="13569" width="14.3818181818182" style="5" customWidth="1"/>
    <col min="13570" max="13570" width="57" style="5" customWidth="1"/>
    <col min="13571" max="13575" width="12.6181818181818" style="5" customWidth="1"/>
    <col min="13576" max="13817" width="13.6181818181818" style="5"/>
    <col min="13818" max="13818" width="9.5" style="5" customWidth="1"/>
    <col min="13819" max="13819" width="39.6181818181818" style="5" customWidth="1"/>
    <col min="13820" max="13821" width="20.8727272727273" style="5" customWidth="1"/>
    <col min="13822" max="13822" width="14.3818181818182" style="5" customWidth="1"/>
    <col min="13823" max="13824" width="20.8727272727273" style="5" customWidth="1"/>
    <col min="13825" max="13825" width="14.3818181818182" style="5" customWidth="1"/>
    <col min="13826" max="13826" width="57" style="5" customWidth="1"/>
    <col min="13827" max="13831" width="12.6181818181818" style="5" customWidth="1"/>
    <col min="13832" max="14073" width="13.6181818181818" style="5"/>
    <col min="14074" max="14074" width="9.5" style="5" customWidth="1"/>
    <col min="14075" max="14075" width="39.6181818181818" style="5" customWidth="1"/>
    <col min="14076" max="14077" width="20.8727272727273" style="5" customWidth="1"/>
    <col min="14078" max="14078" width="14.3818181818182" style="5" customWidth="1"/>
    <col min="14079" max="14080" width="20.8727272727273" style="5" customWidth="1"/>
    <col min="14081" max="14081" width="14.3818181818182" style="5" customWidth="1"/>
    <col min="14082" max="14082" width="57" style="5" customWidth="1"/>
    <col min="14083" max="14087" width="12.6181818181818" style="5" customWidth="1"/>
    <col min="14088" max="14329" width="13.6181818181818" style="5"/>
    <col min="14330" max="14330" width="9.5" style="5" customWidth="1"/>
    <col min="14331" max="14331" width="39.6181818181818" style="5" customWidth="1"/>
    <col min="14332" max="14333" width="20.8727272727273" style="5" customWidth="1"/>
    <col min="14334" max="14334" width="14.3818181818182" style="5" customWidth="1"/>
    <col min="14335" max="14336" width="20.8727272727273" style="5" customWidth="1"/>
    <col min="14337" max="14337" width="14.3818181818182" style="5" customWidth="1"/>
    <col min="14338" max="14338" width="57" style="5" customWidth="1"/>
    <col min="14339" max="14343" width="12.6181818181818" style="5" customWidth="1"/>
    <col min="14344" max="14585" width="13.6181818181818" style="5"/>
    <col min="14586" max="14586" width="9.5" style="5" customWidth="1"/>
    <col min="14587" max="14587" width="39.6181818181818" style="5" customWidth="1"/>
    <col min="14588" max="14589" width="20.8727272727273" style="5" customWidth="1"/>
    <col min="14590" max="14590" width="14.3818181818182" style="5" customWidth="1"/>
    <col min="14591" max="14592" width="20.8727272727273" style="5" customWidth="1"/>
    <col min="14593" max="14593" width="14.3818181818182" style="5" customWidth="1"/>
    <col min="14594" max="14594" width="57" style="5" customWidth="1"/>
    <col min="14595" max="14599" width="12.6181818181818" style="5" customWidth="1"/>
    <col min="14600" max="14841" width="13.6181818181818" style="5"/>
    <col min="14842" max="14842" width="9.5" style="5" customWidth="1"/>
    <col min="14843" max="14843" width="39.6181818181818" style="5" customWidth="1"/>
    <col min="14844" max="14845" width="20.8727272727273" style="5" customWidth="1"/>
    <col min="14846" max="14846" width="14.3818181818182" style="5" customWidth="1"/>
    <col min="14847" max="14848" width="20.8727272727273" style="5" customWidth="1"/>
    <col min="14849" max="14849" width="14.3818181818182" style="5" customWidth="1"/>
    <col min="14850" max="14850" width="57" style="5" customWidth="1"/>
    <col min="14851" max="14855" width="12.6181818181818" style="5" customWidth="1"/>
    <col min="14856" max="15097" width="13.6181818181818" style="5"/>
    <col min="15098" max="15098" width="9.5" style="5" customWidth="1"/>
    <col min="15099" max="15099" width="39.6181818181818" style="5" customWidth="1"/>
    <col min="15100" max="15101" width="20.8727272727273" style="5" customWidth="1"/>
    <col min="15102" max="15102" width="14.3818181818182" style="5" customWidth="1"/>
    <col min="15103" max="15104" width="20.8727272727273" style="5" customWidth="1"/>
    <col min="15105" max="15105" width="14.3818181818182" style="5" customWidth="1"/>
    <col min="15106" max="15106" width="57" style="5" customWidth="1"/>
    <col min="15107" max="15111" width="12.6181818181818" style="5" customWidth="1"/>
    <col min="15112" max="15353" width="13.6181818181818" style="5"/>
    <col min="15354" max="15354" width="9.5" style="5" customWidth="1"/>
    <col min="15355" max="15355" width="39.6181818181818" style="5" customWidth="1"/>
    <col min="15356" max="15357" width="20.8727272727273" style="5" customWidth="1"/>
    <col min="15358" max="15358" width="14.3818181818182" style="5" customWidth="1"/>
    <col min="15359" max="15360" width="20.8727272727273" style="5" customWidth="1"/>
    <col min="15361" max="15361" width="14.3818181818182" style="5" customWidth="1"/>
    <col min="15362" max="15362" width="57" style="5" customWidth="1"/>
    <col min="15363" max="15367" width="12.6181818181818" style="5" customWidth="1"/>
    <col min="15368" max="15609" width="13.6181818181818" style="5"/>
    <col min="15610" max="15610" width="9.5" style="5" customWidth="1"/>
    <col min="15611" max="15611" width="39.6181818181818" style="5" customWidth="1"/>
    <col min="15612" max="15613" width="20.8727272727273" style="5" customWidth="1"/>
    <col min="15614" max="15614" width="14.3818181818182" style="5" customWidth="1"/>
    <col min="15615" max="15616" width="20.8727272727273" style="5" customWidth="1"/>
    <col min="15617" max="15617" width="14.3818181818182" style="5" customWidth="1"/>
    <col min="15618" max="15618" width="57" style="5" customWidth="1"/>
    <col min="15619" max="15623" width="12.6181818181818" style="5" customWidth="1"/>
    <col min="15624" max="15865" width="13.6181818181818" style="5"/>
    <col min="15866" max="15866" width="9.5" style="5" customWidth="1"/>
    <col min="15867" max="15867" width="39.6181818181818" style="5" customWidth="1"/>
    <col min="15868" max="15869" width="20.8727272727273" style="5" customWidth="1"/>
    <col min="15870" max="15870" width="14.3818181818182" style="5" customWidth="1"/>
    <col min="15871" max="15872" width="20.8727272727273" style="5" customWidth="1"/>
    <col min="15873" max="15873" width="14.3818181818182" style="5" customWidth="1"/>
    <col min="15874" max="15874" width="57" style="5" customWidth="1"/>
    <col min="15875" max="15879" width="12.6181818181818" style="5" customWidth="1"/>
    <col min="15880" max="16121" width="13.6181818181818" style="5"/>
    <col min="16122" max="16122" width="9.5" style="5" customWidth="1"/>
    <col min="16123" max="16123" width="39.6181818181818" style="5" customWidth="1"/>
    <col min="16124" max="16125" width="20.8727272727273" style="5" customWidth="1"/>
    <col min="16126" max="16126" width="14.3818181818182" style="5" customWidth="1"/>
    <col min="16127" max="16128" width="20.8727272727273" style="5" customWidth="1"/>
    <col min="16129" max="16129" width="14.3818181818182" style="5" customWidth="1"/>
    <col min="16130" max="16130" width="57" style="5" customWidth="1"/>
    <col min="16131" max="16135" width="12.6181818181818" style="5" customWidth="1"/>
    <col min="16136" max="16384" width="13.6181818181818" style="5"/>
  </cols>
  <sheetData>
    <row r="1" s="5" customFormat="1" ht="27" customHeight="1" spans="1:12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="5" customFormat="1" ht="14.25" customHeight="1" spans="1:12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="5" customFormat="1" ht="21.75" customHeight="1" spans="1:12">
      <c r="A3" s="10" t="s">
        <v>32</v>
      </c>
      <c r="B3" s="10" t="s">
        <v>1</v>
      </c>
      <c r="C3" s="10" t="s">
        <v>45</v>
      </c>
      <c r="D3" s="10" t="s">
        <v>46</v>
      </c>
      <c r="E3" s="10" t="s">
        <v>46</v>
      </c>
      <c r="F3" s="10" t="s">
        <v>47</v>
      </c>
      <c r="G3" s="10"/>
      <c r="H3" s="10"/>
      <c r="I3" s="10" t="s">
        <v>48</v>
      </c>
      <c r="J3" s="10" t="s">
        <v>46</v>
      </c>
      <c r="K3" s="10" t="s">
        <v>46</v>
      </c>
    </row>
    <row r="4" s="5" customFormat="1" ht="32.25" customHeight="1" spans="1:12">
      <c r="A4" s="10" t="s">
        <v>46</v>
      </c>
      <c r="B4" s="10" t="s">
        <v>46</v>
      </c>
      <c r="C4" s="11" t="s">
        <v>2</v>
      </c>
      <c r="D4" s="11" t="s">
        <v>3</v>
      </c>
      <c r="E4" s="11" t="s">
        <v>4</v>
      </c>
      <c r="F4" s="11" t="s">
        <v>2</v>
      </c>
      <c r="G4" s="11" t="s">
        <v>3</v>
      </c>
      <c r="H4" s="11" t="s">
        <v>4</v>
      </c>
      <c r="I4" s="11" t="s">
        <v>2</v>
      </c>
      <c r="J4" s="11" t="s">
        <v>3</v>
      </c>
      <c r="K4" s="11" t="s">
        <v>4</v>
      </c>
    </row>
    <row r="5" s="5" customFormat="1" ht="36" customHeight="1" spans="1:12">
      <c r="A5" s="12" t="s">
        <v>9</v>
      </c>
      <c r="B5" s="12"/>
      <c r="C5" s="13" t="e">
        <f t="shared" ref="C5:G5" si="0">SUM(C10:C17)</f>
        <v>#REF!</v>
      </c>
      <c r="D5" s="13" t="e">
        <f t="shared" si="0"/>
        <v>#REF!</v>
      </c>
      <c r="E5" s="14" t="e">
        <f t="shared" ref="E5:E9" si="1">(C5-D5)/ABS(D5)</f>
        <v>#REF!</v>
      </c>
      <c r="F5" s="13" t="e">
        <f t="shared" si="0"/>
        <v>#REF!</v>
      </c>
      <c r="G5" s="13" t="e">
        <f t="shared" si="0"/>
        <v>#REF!</v>
      </c>
      <c r="H5" s="14" t="e">
        <f t="shared" ref="H5:H17" si="2">(F5-G5)/ABS(G5)</f>
        <v>#REF!</v>
      </c>
      <c r="I5" s="13" t="e">
        <f>SUM(I10:I17)</f>
        <v>#REF!</v>
      </c>
      <c r="J5" s="13" t="e">
        <f>SUM(J10:J17)</f>
        <v>#REF!</v>
      </c>
      <c r="K5" s="14" t="e">
        <f t="shared" ref="K5:K8" si="3">(I5-J5)/ABS(J5)</f>
        <v>#REF!</v>
      </c>
    </row>
    <row r="6" s="6" customFormat="1" ht="36" customHeight="1" spans="1:12">
      <c r="A6" s="15" t="s">
        <v>49</v>
      </c>
      <c r="B6" s="15"/>
      <c r="C6" s="13" t="e">
        <f t="shared" ref="C6:G6" si="4">SUM(C18:C19)</f>
        <v>#REF!</v>
      </c>
      <c r="D6" s="13" t="e">
        <f t="shared" si="4"/>
        <v>#REF!</v>
      </c>
      <c r="E6" s="14" t="e">
        <f t="shared" si="1"/>
        <v>#REF!</v>
      </c>
      <c r="F6" s="13" t="e">
        <f t="shared" si="4"/>
        <v>#REF!</v>
      </c>
      <c r="G6" s="13" t="e">
        <f t="shared" si="4"/>
        <v>#REF!</v>
      </c>
      <c r="H6" s="14" t="e">
        <f t="shared" si="2"/>
        <v>#REF!</v>
      </c>
      <c r="I6" s="13" t="e">
        <f>SUM(I18:I19)</f>
        <v>#REF!</v>
      </c>
      <c r="J6" s="13" t="e">
        <f>SUM(J18:J19)</f>
        <v>#REF!</v>
      </c>
      <c r="K6" s="14" t="e">
        <f t="shared" si="3"/>
        <v>#REF!</v>
      </c>
    </row>
    <row r="7" s="7" customFormat="1" ht="36" customHeight="1" spans="1:12">
      <c r="A7" s="15" t="s">
        <v>50</v>
      </c>
      <c r="B7" s="15"/>
      <c r="C7" s="16" t="e">
        <f t="shared" ref="C7:G7" si="5">SUM(C19:C120)</f>
        <v>#REF!</v>
      </c>
      <c r="D7" s="16" t="e">
        <f t="shared" si="5"/>
        <v>#REF!</v>
      </c>
      <c r="E7" s="17" t="e">
        <f t="shared" si="1"/>
        <v>#REF!</v>
      </c>
      <c r="F7" s="16" t="e">
        <f t="shared" si="5"/>
        <v>#REF!</v>
      </c>
      <c r="G7" s="16" t="e">
        <f t="shared" si="5"/>
        <v>#REF!</v>
      </c>
      <c r="H7" s="17" t="e">
        <f t="shared" si="2"/>
        <v>#REF!</v>
      </c>
      <c r="I7" s="16" t="e">
        <f>SUM(I19:I120)</f>
        <v>#REF!</v>
      </c>
      <c r="J7" s="16" t="e">
        <f>SUM(J19:J120)</f>
        <v>#REF!</v>
      </c>
      <c r="K7" s="17" t="e">
        <f t="shared" si="3"/>
        <v>#REF!</v>
      </c>
    </row>
    <row r="8" s="5" customFormat="1" ht="36" customHeight="1" spans="1:12">
      <c r="A8" s="12" t="s">
        <v>12</v>
      </c>
      <c r="B8" s="12"/>
      <c r="C8" s="13" t="e">
        <f t="shared" ref="C8:G8" si="6">SUM(C10:C15)</f>
        <v>#REF!</v>
      </c>
      <c r="D8" s="13" t="e">
        <f t="shared" si="6"/>
        <v>#REF!</v>
      </c>
      <c r="E8" s="14" t="e">
        <f t="shared" si="1"/>
        <v>#REF!</v>
      </c>
      <c r="F8" s="13" t="e">
        <f t="shared" si="6"/>
        <v>#REF!</v>
      </c>
      <c r="G8" s="13" t="e">
        <f t="shared" si="6"/>
        <v>#REF!</v>
      </c>
      <c r="H8" s="14" t="e">
        <f t="shared" si="2"/>
        <v>#REF!</v>
      </c>
      <c r="I8" s="13" t="e">
        <f>SUM(I10:I15)</f>
        <v>#REF!</v>
      </c>
      <c r="J8" s="13" t="e">
        <f>SUM(J10:J15)</f>
        <v>#REF!</v>
      </c>
      <c r="K8" s="14" t="e">
        <f t="shared" si="3"/>
        <v>#REF!</v>
      </c>
    </row>
    <row r="9" s="5" customFormat="1" ht="36" customHeight="1" spans="1:12">
      <c r="A9" s="12" t="s">
        <v>13</v>
      </c>
      <c r="B9" s="12"/>
      <c r="C9" s="13" t="e">
        <f t="shared" ref="C9:G9" si="7">SUM(C16:C17)</f>
        <v>#REF!</v>
      </c>
      <c r="D9" s="13" t="e">
        <f t="shared" si="7"/>
        <v>#REF!</v>
      </c>
      <c r="E9" s="14" t="e">
        <f t="shared" si="1"/>
        <v>#REF!</v>
      </c>
      <c r="F9" s="13" t="e">
        <f t="shared" si="7"/>
        <v>#REF!</v>
      </c>
      <c r="G9" s="13" t="e">
        <f t="shared" si="7"/>
        <v>#REF!</v>
      </c>
      <c r="H9" s="14" t="e">
        <f t="shared" si="2"/>
        <v>#REF!</v>
      </c>
      <c r="I9" s="13" t="e">
        <f>SUM(I16:I17)</f>
        <v>#REF!</v>
      </c>
      <c r="J9" s="13" t="e">
        <f>SUM(J16:J17)</f>
        <v>#REF!</v>
      </c>
      <c r="K9" s="14" t="e">
        <f t="shared" ref="K9:K14" si="8">(I9-J9)/J9</f>
        <v>#REF!</v>
      </c>
    </row>
    <row r="10" s="6" customFormat="1" ht="98.25" customHeight="1" spans="1:12">
      <c r="A10" s="18">
        <v>1</v>
      </c>
      <c r="B10" s="19" t="s">
        <v>14</v>
      </c>
      <c r="C10" s="20" t="e">
        <f>#REF!/2</f>
        <v>#REF!</v>
      </c>
      <c r="D10" s="20" t="e">
        <f>#REF!/2</f>
        <v>#REF!</v>
      </c>
      <c r="E10" s="14" t="e">
        <f t="shared" ref="E10:E17" si="9">(C10-D10)/D10</f>
        <v>#REF!</v>
      </c>
      <c r="F10" s="20" t="e">
        <f>#REF!/2</f>
        <v>#REF!</v>
      </c>
      <c r="G10" s="20" t="e">
        <f>#REF!/2</f>
        <v>#REF!</v>
      </c>
      <c r="H10" s="14" t="e">
        <f t="shared" si="2"/>
        <v>#REF!</v>
      </c>
      <c r="I10" s="20" t="e">
        <f>#REF!/2</f>
        <v>#REF!</v>
      </c>
      <c r="J10" s="20" t="e">
        <f>#REF!/2</f>
        <v>#REF!</v>
      </c>
      <c r="K10" s="21" t="e">
        <f>(I10-J10)/ABS(J10)</f>
        <v>#REF!</v>
      </c>
      <c r="L10" s="22"/>
    </row>
    <row r="11" s="6" customFormat="1" ht="87.75" customHeight="1" spans="1:12">
      <c r="A11" s="18">
        <v>2</v>
      </c>
      <c r="B11" s="19" t="s">
        <v>16</v>
      </c>
      <c r="C11" s="20" t="e">
        <f>#REF!/2</f>
        <v>#REF!</v>
      </c>
      <c r="D11" s="20" t="e">
        <f>#REF!/2</f>
        <v>#REF!</v>
      </c>
      <c r="E11" s="21" t="e">
        <f t="shared" si="9"/>
        <v>#REF!</v>
      </c>
      <c r="F11" s="20" t="e">
        <f>#REF!/2</f>
        <v>#REF!</v>
      </c>
      <c r="G11" s="20" t="e">
        <f>#REF!/2</f>
        <v>#REF!</v>
      </c>
      <c r="H11" s="21" t="e">
        <f t="shared" si="2"/>
        <v>#REF!</v>
      </c>
      <c r="I11" s="20" t="e">
        <f>#REF!/2</f>
        <v>#REF!</v>
      </c>
      <c r="J11" s="20" t="e">
        <f>#REF!/2</f>
        <v>#REF!</v>
      </c>
      <c r="K11" s="21" t="e">
        <f t="shared" si="8"/>
        <v>#REF!</v>
      </c>
      <c r="L11" s="22"/>
    </row>
    <row r="12" s="6" customFormat="1" ht="96" customHeight="1" spans="1:12">
      <c r="A12" s="18">
        <v>3</v>
      </c>
      <c r="B12" s="23" t="s">
        <v>17</v>
      </c>
      <c r="C12" s="20" t="e">
        <f>#REF!/2</f>
        <v>#REF!</v>
      </c>
      <c r="D12" s="20" t="e">
        <f>#REF!/2</f>
        <v>#REF!</v>
      </c>
      <c r="E12" s="21" t="e">
        <f t="shared" si="9"/>
        <v>#REF!</v>
      </c>
      <c r="F12" s="20" t="e">
        <f>#REF!/2</f>
        <v>#REF!</v>
      </c>
      <c r="G12" s="20" t="e">
        <f>#REF!/2</f>
        <v>#REF!</v>
      </c>
      <c r="H12" s="21" t="e">
        <f t="shared" si="2"/>
        <v>#REF!</v>
      </c>
      <c r="I12" s="20" t="e">
        <f>#REF!/2</f>
        <v>#REF!</v>
      </c>
      <c r="J12" s="20" t="e">
        <f>#REF!/2</f>
        <v>#REF!</v>
      </c>
      <c r="K12" s="21" t="e">
        <f t="shared" si="8"/>
        <v>#REF!</v>
      </c>
    </row>
    <row r="13" s="6" customFormat="1" ht="94.5" customHeight="1" spans="1:12">
      <c r="A13" s="18">
        <v>4</v>
      </c>
      <c r="B13" s="19" t="s">
        <v>18</v>
      </c>
      <c r="C13" s="20" t="e">
        <f>#REF!/2</f>
        <v>#REF!</v>
      </c>
      <c r="D13" s="20" t="e">
        <f>#REF!/2</f>
        <v>#REF!</v>
      </c>
      <c r="E13" s="21" t="e">
        <f t="shared" si="9"/>
        <v>#REF!</v>
      </c>
      <c r="F13" s="20" t="e">
        <f>#REF!/2</f>
        <v>#REF!</v>
      </c>
      <c r="G13" s="20" t="e">
        <f>#REF!/2</f>
        <v>#REF!</v>
      </c>
      <c r="H13" s="21" t="e">
        <f t="shared" si="2"/>
        <v>#REF!</v>
      </c>
      <c r="I13" s="20" t="e">
        <f>#REF!/2</f>
        <v>#REF!</v>
      </c>
      <c r="J13" s="20" t="e">
        <f>#REF!/2</f>
        <v>#REF!</v>
      </c>
      <c r="K13" s="21" t="e">
        <f t="shared" si="8"/>
        <v>#REF!</v>
      </c>
    </row>
    <row r="14" s="6" customFormat="1" ht="64.5" customHeight="1" spans="1:12">
      <c r="A14" s="18">
        <v>5</v>
      </c>
      <c r="B14" s="19" t="s">
        <v>19</v>
      </c>
      <c r="C14" s="20" t="e">
        <f>#REF!/2</f>
        <v>#REF!</v>
      </c>
      <c r="D14" s="20" t="e">
        <f>#REF!/2</f>
        <v>#REF!</v>
      </c>
      <c r="E14" s="21" t="e">
        <f t="shared" si="9"/>
        <v>#REF!</v>
      </c>
      <c r="F14" s="20" t="e">
        <f>#REF!/2</f>
        <v>#REF!</v>
      </c>
      <c r="G14" s="20" t="e">
        <f>#REF!/2</f>
        <v>#REF!</v>
      </c>
      <c r="H14" s="21" t="e">
        <f t="shared" si="2"/>
        <v>#REF!</v>
      </c>
      <c r="I14" s="20" t="e">
        <f>#REF!/2</f>
        <v>#REF!</v>
      </c>
      <c r="J14" s="20" t="e">
        <f>#REF!/2</f>
        <v>#REF!</v>
      </c>
      <c r="K14" s="21" t="e">
        <f t="shared" si="8"/>
        <v>#REF!</v>
      </c>
      <c r="L14" s="24"/>
    </row>
    <row r="15" s="6" customFormat="1" ht="60.75" customHeight="1" spans="1:12">
      <c r="A15" s="18">
        <v>6</v>
      </c>
      <c r="B15" s="19" t="s">
        <v>20</v>
      </c>
      <c r="C15" s="20" t="e">
        <f>#REF!/2</f>
        <v>#REF!</v>
      </c>
      <c r="D15" s="20" t="e">
        <f>#REF!/2</f>
        <v>#REF!</v>
      </c>
      <c r="E15" s="21" t="e">
        <f t="shared" si="9"/>
        <v>#REF!</v>
      </c>
      <c r="F15" s="20" t="e">
        <f>#REF!/2</f>
        <v>#REF!</v>
      </c>
      <c r="G15" s="20" t="e">
        <f>#REF!/2</f>
        <v>#REF!</v>
      </c>
      <c r="H15" s="21" t="e">
        <f t="shared" si="2"/>
        <v>#REF!</v>
      </c>
      <c r="I15" s="20" t="e">
        <f>#REF!/2</f>
        <v>#REF!</v>
      </c>
      <c r="J15" s="20" t="e">
        <f>#REF!/2</f>
        <v>#REF!</v>
      </c>
      <c r="K15" s="21"/>
      <c r="L15" s="24"/>
    </row>
    <row r="16" s="6" customFormat="1" ht="110.25" customHeight="1" spans="1:12">
      <c r="A16" s="18">
        <v>7</v>
      </c>
      <c r="B16" s="19" t="s">
        <v>22</v>
      </c>
      <c r="C16" s="20" t="e">
        <f>#REF!/2</f>
        <v>#REF!</v>
      </c>
      <c r="D16" s="20" t="e">
        <f>#REF!/2</f>
        <v>#REF!</v>
      </c>
      <c r="E16" s="21" t="e">
        <f t="shared" si="9"/>
        <v>#REF!</v>
      </c>
      <c r="F16" s="20" t="e">
        <f>#REF!/2</f>
        <v>#REF!</v>
      </c>
      <c r="G16" s="20" t="e">
        <f>#REF!/2</f>
        <v>#REF!</v>
      </c>
      <c r="H16" s="21" t="e">
        <f t="shared" si="2"/>
        <v>#REF!</v>
      </c>
      <c r="I16" s="20" t="e">
        <f>#REF!/2</f>
        <v>#REF!</v>
      </c>
      <c r="J16" s="20" t="e">
        <f>#REF!/2</f>
        <v>#REF!</v>
      </c>
      <c r="K16" s="21" t="e">
        <f>(I16-J16)/J16</f>
        <v>#REF!</v>
      </c>
      <c r="L16" s="24"/>
    </row>
    <row r="17" s="5" customFormat="1" ht="87.75" customHeight="1" spans="1:12">
      <c r="A17" s="18">
        <v>8</v>
      </c>
      <c r="B17" s="19" t="s">
        <v>23</v>
      </c>
      <c r="C17" s="20" t="e">
        <f>#REF!/2</f>
        <v>#REF!</v>
      </c>
      <c r="D17" s="20" t="e">
        <f>#REF!/2</f>
        <v>#REF!</v>
      </c>
      <c r="E17" s="21" t="e">
        <f t="shared" si="9"/>
        <v>#REF!</v>
      </c>
      <c r="F17" s="20" t="e">
        <f>#REF!/2</f>
        <v>#REF!</v>
      </c>
      <c r="G17" s="20" t="e">
        <f>#REF!/2</f>
        <v>#REF!</v>
      </c>
      <c r="H17" s="21" t="e">
        <f t="shared" si="2"/>
        <v>#REF!</v>
      </c>
      <c r="I17" s="20" t="e">
        <f>#REF!/2</f>
        <v>#REF!</v>
      </c>
      <c r="J17" s="20" t="e">
        <f>#REF!/2</f>
        <v>#REF!</v>
      </c>
      <c r="K17" s="21" t="e">
        <f>(I17-J17)/J17</f>
        <v>#REF!</v>
      </c>
      <c r="L17" s="25"/>
    </row>
    <row r="18" s="5" customFormat="1" ht="48.75" customHeight="1" spans="1:12">
      <c r="A18" s="18">
        <v>9</v>
      </c>
      <c r="B18" s="26" t="s">
        <v>24</v>
      </c>
      <c r="C18" s="20" t="e">
        <f>#REF!/2</f>
        <v>#REF!</v>
      </c>
      <c r="D18" s="20" t="e">
        <f>#REF!/2</f>
        <v>#REF!</v>
      </c>
      <c r="E18" s="21"/>
      <c r="F18" s="20" t="e">
        <f>#REF!/2</f>
        <v>#REF!</v>
      </c>
      <c r="G18" s="20" t="e">
        <f>#REF!/2</f>
        <v>#REF!</v>
      </c>
      <c r="H18" s="21"/>
      <c r="I18" s="20" t="e">
        <f>#REF!/2</f>
        <v>#REF!</v>
      </c>
      <c r="J18" s="20" t="e">
        <f>#REF!/2</f>
        <v>#REF!</v>
      </c>
      <c r="K18" s="21"/>
    </row>
    <row r="19" s="5" customFormat="1" ht="36.75" customHeight="1" spans="1:12">
      <c r="A19" s="18">
        <v>1</v>
      </c>
      <c r="B19" s="26" t="s">
        <v>25</v>
      </c>
      <c r="C19" s="20" t="e">
        <f>#REF!/2</f>
        <v>#REF!</v>
      </c>
      <c r="D19" s="20" t="e">
        <f>#REF!/2</f>
        <v>#REF!</v>
      </c>
      <c r="E19" s="21"/>
      <c r="F19" s="20" t="e">
        <f>#REF!/2</f>
        <v>#REF!</v>
      </c>
      <c r="G19" s="20" t="e">
        <f>#REF!/2</f>
        <v>#REF!</v>
      </c>
      <c r="H19" s="21"/>
      <c r="I19" s="20" t="e">
        <f>#REF!/2</f>
        <v>#REF!</v>
      </c>
      <c r="J19" s="20" t="e">
        <f>#REF!/2</f>
        <v>#REF!</v>
      </c>
      <c r="K19" s="21"/>
    </row>
    <row r="20" s="5" customFormat="1" spans="1:12">
      <c r="A20" s="27"/>
      <c r="B20" s="27"/>
      <c r="C20" s="28"/>
      <c r="D20" s="28"/>
      <c r="E20" s="29"/>
      <c r="F20" s="28"/>
      <c r="G20" s="28"/>
      <c r="H20" s="29"/>
      <c r="I20" s="27"/>
      <c r="J20" s="27"/>
      <c r="K20" s="27"/>
    </row>
    <row r="21" s="5" customFormat="1" spans="1:12">
      <c r="A21" s="27"/>
      <c r="B21" s="30"/>
      <c r="C21" s="31"/>
      <c r="D21" s="28"/>
      <c r="E21" s="29"/>
      <c r="F21" s="30"/>
      <c r="G21" s="31"/>
      <c r="H21" s="29"/>
      <c r="I21" s="27"/>
      <c r="J21" s="27"/>
      <c r="K21" s="27"/>
    </row>
    <row r="22" s="5" customFormat="1" spans="1:12">
      <c r="A22" s="27"/>
      <c r="B22" s="32"/>
      <c r="C22" s="33"/>
      <c r="D22" s="27"/>
      <c r="E22" s="32"/>
      <c r="F22" s="32"/>
      <c r="G22" s="33"/>
      <c r="H22" s="29"/>
      <c r="I22" s="27"/>
      <c r="J22" s="27"/>
      <c r="K22" s="27"/>
    </row>
    <row r="23" s="5" customFormat="1" spans="1:12">
      <c r="A23" s="27"/>
      <c r="B23" s="32"/>
      <c r="C23" s="33"/>
      <c r="D23" s="27"/>
      <c r="E23" s="32"/>
      <c r="F23" s="32"/>
      <c r="G23" s="33"/>
      <c r="H23" s="29"/>
      <c r="I23" s="27"/>
      <c r="J23" s="27"/>
      <c r="K23" s="27"/>
    </row>
    <row r="24" s="5" customFormat="1" spans="1:12">
      <c r="A24" s="27"/>
      <c r="B24" s="32"/>
      <c r="C24" s="33"/>
      <c r="D24" s="27"/>
      <c r="E24" s="32"/>
      <c r="F24" s="32"/>
      <c r="G24" s="33"/>
      <c r="H24" s="29"/>
      <c r="I24" s="27"/>
      <c r="J24" s="27"/>
      <c r="K24" s="27"/>
    </row>
    <row r="25" s="5" customFormat="1" spans="1:12">
      <c r="A25" s="27"/>
      <c r="B25" s="32"/>
      <c r="C25" s="33"/>
      <c r="D25" s="33"/>
      <c r="E25" s="33"/>
      <c r="F25" s="32"/>
      <c r="G25" s="33"/>
      <c r="H25" s="29"/>
      <c r="I25" s="27"/>
      <c r="J25" s="27"/>
      <c r="K25" s="27"/>
    </row>
    <row r="26" s="5" customFormat="1" spans="1:12">
      <c r="A26" s="27"/>
      <c r="B26" s="32"/>
      <c r="C26" s="33"/>
      <c r="D26" s="27"/>
      <c r="E26" s="32"/>
      <c r="F26" s="32"/>
      <c r="G26" s="33"/>
      <c r="H26" s="29"/>
      <c r="I26" s="27"/>
      <c r="J26" s="27"/>
      <c r="K26" s="27"/>
    </row>
    <row r="27" s="5" customFormat="1" spans="1:12">
      <c r="A27" s="27"/>
      <c r="B27" s="27"/>
      <c r="C27" s="27"/>
      <c r="D27" s="27"/>
      <c r="E27" s="32"/>
      <c r="F27" s="32"/>
      <c r="G27" s="33"/>
      <c r="H27" s="29"/>
      <c r="I27" s="27"/>
      <c r="J27" s="27"/>
      <c r="K27" s="27"/>
    </row>
    <row r="28" s="5" customFormat="1" spans="1:1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="5" customFormat="1" spans="1:1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="5" customFormat="1" spans="1:1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="5" customFormat="1" spans="1:1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="5" customFormat="1" spans="1:1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="5" customFormat="1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="5" customFormat="1" spans="1:11">
      <c r="A34" s="27"/>
      <c r="B34" s="27"/>
      <c r="C34" s="27"/>
      <c r="D34" s="34"/>
      <c r="E34" s="34"/>
      <c r="F34" s="27"/>
      <c r="G34" s="27"/>
      <c r="H34" s="27"/>
      <c r="I34" s="27"/>
      <c r="J34" s="27"/>
      <c r="K34" s="27"/>
    </row>
    <row r="35" s="5" customFormat="1" spans="1:11">
      <c r="A35" s="27"/>
      <c r="B35" s="27"/>
      <c r="C35" s="27"/>
      <c r="D35" s="34"/>
      <c r="E35" s="34"/>
      <c r="F35" s="27"/>
      <c r="G35" s="27"/>
      <c r="H35" s="27"/>
      <c r="I35" s="27"/>
      <c r="J35" s="27"/>
      <c r="K35" s="27"/>
    </row>
    <row r="36" s="5" customFormat="1" spans="1:11">
      <c r="A36" s="27"/>
      <c r="B36" s="27"/>
      <c r="C36" s="27"/>
      <c r="D36" s="34"/>
      <c r="E36" s="34"/>
      <c r="F36" s="27"/>
      <c r="G36" s="27"/>
      <c r="H36" s="27"/>
      <c r="I36" s="27"/>
      <c r="J36" s="27"/>
      <c r="K36" s="27"/>
    </row>
    <row r="37" s="5" customFormat="1" spans="1:11">
      <c r="A37" s="27"/>
      <c r="B37" s="27"/>
      <c r="C37" s="27"/>
      <c r="D37" s="34"/>
      <c r="E37" s="34"/>
      <c r="F37" s="27"/>
      <c r="G37" s="27"/>
      <c r="H37" s="27"/>
      <c r="I37" s="27"/>
      <c r="J37" s="27"/>
      <c r="K37" s="27"/>
    </row>
    <row r="38" s="5" customFormat="1" spans="1:11">
      <c r="A38" s="27"/>
      <c r="B38" s="27"/>
      <c r="C38" s="27"/>
      <c r="D38" s="34"/>
      <c r="E38" s="34"/>
      <c r="F38" s="27"/>
      <c r="G38" s="27"/>
      <c r="H38" s="27"/>
      <c r="I38" s="27"/>
      <c r="J38" s="27"/>
      <c r="K38" s="27"/>
    </row>
    <row r="39" s="5" customFormat="1" spans="1:11">
      <c r="A39" s="27"/>
      <c r="B39" s="27"/>
      <c r="C39" s="27"/>
      <c r="D39" s="34"/>
      <c r="E39" s="34"/>
      <c r="F39" s="27"/>
      <c r="G39" s="27"/>
      <c r="H39" s="27"/>
      <c r="I39" s="27"/>
      <c r="J39" s="27"/>
      <c r="K39" s="27"/>
    </row>
    <row r="41" s="5" customFormat="1" spans="1:11">
      <c r="D41" s="35"/>
      <c r="E41" s="35"/>
    </row>
    <row r="44" s="5" customFormat="1" spans="1:11">
      <c r="D44" s="36"/>
      <c r="E44" s="35"/>
      <c r="G44" s="35"/>
    </row>
    <row r="45" s="5" customFormat="1" spans="1:11">
      <c r="E45" s="36"/>
    </row>
  </sheetData>
  <mergeCells count="12">
    <mergeCell ref="A1:K1"/>
    <mergeCell ref="A2:K2"/>
    <mergeCell ref="C3:E3"/>
    <mergeCell ref="F3:H3"/>
    <mergeCell ref="I3:K3"/>
    <mergeCell ref="A5:B5"/>
    <mergeCell ref="A6:B6"/>
    <mergeCell ref="A7:B7"/>
    <mergeCell ref="A8:B8"/>
    <mergeCell ref="A9:B9"/>
    <mergeCell ref="A3:A4"/>
    <mergeCell ref="B3:B4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"/>
  <sheetViews>
    <sheetView tabSelected="1" workbookViewId="0">
      <selection activeCell="E36" sqref="$A1:$XFD1048576"/>
    </sheetView>
  </sheetViews>
  <sheetFormatPr defaultColWidth="8.72727272727273" defaultRowHeight="14" outlineLevelRow="1" outlineLevelCol="3"/>
  <cols>
    <col min="1" max="1" width="15.9090909090909" style="1" customWidth="1"/>
    <col min="2" max="2" width="14" style="2"/>
    <col min="4" max="4" width="9.54545454545454"/>
  </cols>
  <sheetData>
    <row r="2" spans="1:4">
      <c r="A2" s="1">
        <v>45292</v>
      </c>
      <c r="B2" s="2">
        <v>45293</v>
      </c>
      <c r="C2" s="3">
        <v>45901</v>
      </c>
      <c r="D2" s="4">
        <v>0.425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2024年11</vt:lpstr>
      <vt:lpstr>2024年12</vt:lpstr>
      <vt:lpstr>特殊事项</vt:lpstr>
      <vt:lpstr>1季度预测工业增加值</vt:lpstr>
      <vt:lpstr>2024年上半年</vt:lpstr>
      <vt:lpstr>日期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yanliang</dc:creator>
  <cp:lastModifiedBy>Byron</cp:lastModifiedBy>
  <dcterms:created xsi:type="dcterms:W3CDTF">2025-03-27T11:51:00Z</dcterms:created>
  <dcterms:modified xsi:type="dcterms:W3CDTF">2025-11-24T08:21:09Z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008F9F46B45848ACAE8B3C79C53D082C_11</vt:lpwstr>
  </property>
  <property fmtid="{D5CDD505-2E9C-101B-9397-08002B2CF9AE}" pid="3" name="KSOProductBuildVer">
    <vt:lpwstr>2052-12.1.0.23542</vt:lpwstr>
  </property>
</Properties>
</file>